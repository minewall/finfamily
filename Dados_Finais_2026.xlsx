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" sheetId="1" r:id="rId5"/>
    <sheet state="hidden" name="Fev" sheetId="2" r:id="rId6"/>
    <sheet state="hidden" name="Mar" sheetId="3" r:id="rId7"/>
    <sheet state="hidden" name="Abr" sheetId="4" r:id="rId8"/>
    <sheet state="hidden" name="Mai" sheetId="5" r:id="rId9"/>
    <sheet state="hidden" name="Jun" sheetId="6" r:id="rId10"/>
    <sheet state="hidden" name="Jul" sheetId="7" r:id="rId11"/>
    <sheet state="hidden" name="Ago" sheetId="8" r:id="rId12"/>
    <sheet state="hidden" name="Set" sheetId="9" r:id="rId13"/>
    <sheet state="hidden" name="Out" sheetId="10" r:id="rId14"/>
    <sheet state="hidden" name="Nov" sheetId="11" r:id="rId15"/>
    <sheet state="hidden" name="Dez" sheetId="12" r:id="rId16"/>
    <sheet state="visible" name="Receitas 2026" sheetId="13" r:id="rId17"/>
    <sheet state="visible" name="Despesas 2026" sheetId="14" r:id="rId18"/>
  </sheets>
  <definedNames>
    <definedName name="Supermercado">Jan!$D$6</definedName>
    <definedName name="Janeiro">#REF!</definedName>
    <definedName name="A4_">Jan!$D$6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9">
      <text>
        <t xml:space="preserve">Gás </t>
      </text>
    </comment>
    <comment authorId="0" ref="C30">
      <text>
        <t xml:space="preserve">25,90 Leroy Merlin</t>
      </text>
    </comment>
    <comment authorId="0" ref="D30">
      <text>
        <t xml:space="preserve">45,00 balde praia Bia !</t>
      </text>
    </comment>
    <comment authorId="0" ref="E30">
      <text>
        <t xml:space="preserve">Gas
</t>
      </text>
    </comment>
    <comment authorId="0" ref="I30">
      <text>
        <t xml:space="preserve">129,11 1/5 Magali Airfryer</t>
      </text>
    </comment>
    <comment authorId="0" ref="C31">
      <text>
        <t xml:space="preserve">152,92 Vest Casa 2/2
76,23 Shoppe rack 1/10
274,46 Vest Casa cadeira 2/2</t>
      </text>
    </comment>
    <comment authorId="0" ref="D31">
      <text>
        <t xml:space="preserve">421,94 Vest Casa
89,90 Vest Casa</t>
      </text>
    </comment>
    <comment authorId="0" ref="H31">
      <text>
        <t xml:space="preserve">102,96 Super big (Cinzeiro, tábua)</t>
      </text>
    </comment>
    <comment authorId="0" ref="I31">
      <text>
        <t xml:space="preserve">76,14 Shoppe rack 4/10
26,99 bomba galão 
45,00 percabonato </t>
      </text>
    </comment>
    <comment authorId="0" ref="J31">
      <text>
        <t xml:space="preserve">540,73 Leroy Merlyn</t>
      </text>
    </comment>
    <comment authorId="0" ref="C43">
      <text>
        <t xml:space="preserve">117,00 1/2 Rossi
97,68 1/2 Rossi </t>
      </text>
    </comment>
    <comment authorId="0" ref="E43">
      <text>
        <t xml:space="preserve">117,00 2/2 Rossi
97,68 2/2 Rossi 
161,19 Rossi
1019,23 Assaí
192,85 1/2 Rossi </t>
      </text>
    </comment>
    <comment authorId="0" ref="G43">
      <text>
        <t xml:space="preserve">192,85 2/2 Rossi 
143,60 1/2 Rossi
</t>
      </text>
    </comment>
    <comment authorId="0" ref="I43">
      <text>
        <t xml:space="preserve">143,60 2/2 Rossi</t>
      </text>
    </comment>
    <comment authorId="0" ref="G45">
      <text>
        <t xml:space="preserve">6,43 padaria
87,48 salgados congelados</t>
      </text>
    </comment>
    <comment authorId="0" ref="I70">
      <text>
        <t xml:space="preserve">77,20 Farmácia 1/2</t>
      </text>
    </comment>
    <comment authorId="0" ref="E71">
      <text>
        <t xml:space="preserve">68,32 1/3 Perfumaria </t>
      </text>
    </comment>
    <comment authorId="0" ref="I71">
      <text>
        <t xml:space="preserve">68,32 3/3 Perfumaria 
83,98 1/3 Perfumaria </t>
      </text>
    </comment>
    <comment authorId="0" ref="C80">
      <text>
        <t xml:space="preserve">125,00 Perfume 4/8
119,87 havaiana</t>
      </text>
    </comment>
    <comment authorId="0" ref="D80">
      <text>
        <t xml:space="preserve">189,97 Calça Bruninha, camiseta Manu</t>
      </text>
    </comment>
    <comment authorId="0" ref="I80">
      <text>
        <t xml:space="preserve">125,00 Perfume 7/8
30,20 Caderno 
113,20 Perfume 1/6
223,65 Crocs 1/3
151,50 MK 1/10</t>
      </text>
    </comment>
    <comment authorId="0" ref="J80">
      <text>
        <t xml:space="preserve">133,85 Máquina de cabelo</t>
      </text>
    </comment>
    <comment authorId="0" ref="C81">
      <text>
        <t xml:space="preserve">129,99 adidas 4/6
89,80 Shein 4/5
85,00 Hering 1/2
121,20 perfume 4/6
83,40 4/5
92,61 shein 4/5 
99,90 marc4 3/3
256,68 Destro 2/3
119,99 Hering</t>
      </text>
    </comment>
    <comment authorId="0" ref="E81">
      <text>
        <t xml:space="preserve">129,99 adidas 5/6
89,80 Shein 5/5
85,00 Hering 2/2
121,20 perfume 5/6
83,40 5/5 
92,61 shein 5/5
256,68 Destro 3/3 </t>
      </text>
    </comment>
    <comment authorId="0" ref="G81">
      <text>
        <t xml:space="preserve">129,99 adidas 6/6
121,20 perfume 6/6</t>
      </text>
    </comment>
    <comment authorId="0" ref="I81">
      <text>
        <t xml:space="preserve">124,20 Renner 1/3
51,45 Lupo 1/2
223,65 Crocs 1/3
151,50 MK 1/10</t>
      </text>
    </comment>
    <comment authorId="0" ref="J81">
      <text>
        <t xml:space="preserve">500,00 Crocs
1500,00 Michael Kors</t>
      </text>
    </comment>
    <comment authorId="0" ref="C90">
      <text>
        <t xml:space="preserve">205,00 1/2</t>
      </text>
    </comment>
    <comment authorId="0" ref="E90">
      <text>
        <t xml:space="preserve">205,00 2/2 </t>
      </text>
    </comment>
    <comment authorId="0" ref="G90">
      <text>
        <t xml:space="preserve">184,50 Banho 1/2</t>
      </text>
    </comment>
    <comment authorId="0" ref="I90">
      <text>
        <t xml:space="preserve">184,50 Banho 1/2</t>
      </text>
    </comment>
    <comment authorId="0" ref="G91">
      <text>
        <t xml:space="preserve">177,50 consulta 1/2
187,50 exames 1/2</t>
      </text>
    </comment>
    <comment authorId="0" ref="I91">
      <text>
        <t xml:space="preserve">177,50 consulta 2/2
187,50 exames 2/2</t>
      </text>
    </comment>
    <comment authorId="0" ref="G92">
      <text>
        <t xml:space="preserve">56,80 Medicamentos </t>
      </text>
    </comment>
    <comment authorId="0" ref="C97">
      <text>
        <t xml:space="preserve">256,82 Outback
5,95 assinatura ifood
63,98 oakberry 
91,96 makis
108,00 espetinho
80,60 starbucks</t>
      </text>
    </comment>
    <comment authorId="0" ref="D97">
      <text>
        <t xml:space="preserve">136,29 Pizza hut
211,40 Espetinho
105,60 Condessa
14,40 ragazzo vest casa</t>
      </text>
    </comment>
    <comment authorId="0" ref="E97">
      <text>
        <t xml:space="preserve">39,80 chopp
208,99 sushi 
6,00 sorvete mc
37,99 Salgado assaí
30,00 batata Frita bullguer
53,40 mc Donald’s 
72,80 Padaria 
111,81 outback
33,52 mc donalds
48,70 esfihas</t>
      </text>
    </comment>
    <comment authorId="0" ref="F97">
      <text>
        <t xml:space="preserve">217,42 Coco Bambu
25,98 Lá Guapa
93,35 pizza</t>
      </text>
    </comment>
    <comment authorId="0" ref="G97">
      <text>
        <t xml:space="preserve">110,80 Mc donalds
107,40 japa mercado 
270,28 Oh Freguês 
52,19 japa ifood Manu </t>
      </text>
    </comment>
    <comment authorId="0" ref="H97">
      <text>
        <t xml:space="preserve">69,80 Mc Donalds
103,97 Japonês Ifood</t>
      </text>
    </comment>
    <comment authorId="0" ref="I97">
      <text>
        <t xml:space="preserve">135,00 espetinho
49,80 Jundiá sorvetes 
337,01 Outback 
67,00 temaki liberdade
217,50 Outback
65,85 Bacio di latte
74,88 pizza hut 
168,19 peixeinho</t>
      </text>
    </comment>
    <comment authorId="0" ref="J97">
      <text>
        <t xml:space="preserve">22,90 Starbucks
171,00 espetinho
254,58 Outback
322,74 Outback
121,40 Sushi (Mercado)
144,90 espetinho
189,82 pizza hut 
101,80 Mc Donalds</t>
      </text>
    </comment>
    <comment authorId="0" ref="D98">
      <text>
        <t xml:space="preserve">20,00 Agua centro Osasco</t>
      </text>
    </comment>
    <comment authorId="0" ref="E98">
      <text>
        <t xml:space="preserve">68,40 1/2 cinema 
30,00 Pipoca </t>
      </text>
    </comment>
    <comment authorId="0" ref="I98">
      <text>
        <t xml:space="preserve">7,50 Agua liberdade</t>
      </text>
    </comment>
    <comment authorId="0" ref="D99">
      <text>
        <t xml:space="preserve">Espetinho</t>
      </text>
    </comment>
    <comment authorId="0" ref="E99">
      <text>
        <t xml:space="preserve">Daiso</t>
      </text>
    </comment>
    <comment authorId="0" ref="G99">
      <text>
        <t xml:space="preserve">72,84 lanche posto fórum </t>
      </text>
    </comment>
    <comment authorId="0" ref="J99">
      <text>
        <t xml:space="preserve">70,80 Açaí Lá fruta </t>
      </text>
    </comment>
    <comment authorId="0" ref="C100">
      <text>
        <t xml:space="preserve">Viagem praia meninas</t>
      </text>
    </comment>
    <comment authorId="0" ref="F105">
      <text>
        <t xml:space="preserve">25,75 TED
25,75 TED
28,00 Taxa Itaú</t>
      </text>
    </comment>
    <comment authorId="0" ref="G105">
      <text>
        <t xml:space="preserve">Encargos refinanciamento </t>
      </text>
    </comment>
    <comment authorId="0" ref="H105">
      <text>
        <t xml:space="preserve">25,75 Tarifa TED
28,00 Tarifa Itau janeiro
28,00 Tarifa Itau Fevereiro
76,09 negociação Itaú 2/6
</t>
      </text>
    </comment>
    <comment authorId="0" ref="J105">
      <text>
        <t xml:space="preserve">75,00 renegociação 3/6
10,00 banco Brasil abertura conta 
56,00 taxa Itaú 
</t>
      </text>
    </comment>
    <comment authorId="0" ref="F106">
      <text>
        <t xml:space="preserve">72,78 1/6 Acordo Itaú</t>
      </text>
    </comment>
    <comment authorId="0" ref="I106">
      <text>
        <t xml:space="preserve">Estorno refinanciamento </t>
      </text>
    </comment>
    <comment authorId="0" ref="F111">
      <text>
        <t xml:space="preserve">Consulta placa veiculo </t>
      </text>
    </comment>
    <comment authorId="0" ref="C121">
      <text>
        <t xml:space="preserve">63,91 Shoppe 1/3 - Itens casa</t>
      </text>
    </comment>
    <comment authorId="0" ref="C122">
      <text>
        <t xml:space="preserve">142,95 ventilador teto/ varão sala
70,79 varão quarto </t>
      </text>
    </comment>
    <comment authorId="0" ref="C128">
      <text>
        <t xml:space="preserve">Python
ChatGPT</t>
      </text>
    </comment>
    <comment authorId="0" ref="G128">
      <text>
        <t xml:space="preserve">51,11 boleto vestibular
42,38 Chat GPT</t>
      </text>
    </comment>
    <comment authorId="0" ref="I128">
      <text>
        <t xml:space="preserve">90,00 Inscrição Fatec 
43,75 chat gpt</t>
      </text>
    </comment>
    <comment authorId="0" ref="G136">
      <text>
        <t xml:space="preserve">39,90 Oab de bolso
32,08 material 1/3
19,90 cronograma  
24,00 xerox
23,00 grampeador, Clips, caneta 
</t>
      </text>
    </comment>
    <comment authorId="0" ref="I136">
      <text>
        <t xml:space="preserve">39,90 Oab de bolso
32,08 Material 2/3</t>
      </text>
    </comment>
    <comment authorId="0" ref="K136">
      <text>
        <t xml:space="preserve">39,90 Oab de bolso
32,08 Material 3/3</t>
      </text>
    </comment>
    <comment authorId="0" ref="E147">
      <text>
        <t xml:space="preserve">16,49 Daiso</t>
      </text>
    </comment>
    <comment authorId="0" ref="I147">
      <text>
        <t xml:space="preserve">Daiso</t>
      </text>
    </comment>
  </commentList>
</comments>
</file>

<file path=xl/sharedStrings.xml><?xml version="1.0" encoding="utf-8"?>
<sst xmlns="http://schemas.openxmlformats.org/spreadsheetml/2006/main" count="667" uniqueCount="147">
  <si>
    <t>Orçamento Doméstico</t>
  </si>
  <si>
    <t xml:space="preserve">Descritivo de Receitas e Despesas realizadas </t>
  </si>
  <si>
    <t>Janeiro</t>
  </si>
  <si>
    <t>Movimentação do saldo  no mês</t>
  </si>
  <si>
    <t>Meio de pagamento</t>
  </si>
  <si>
    <t xml:space="preserve">Saldo do mês anterior </t>
  </si>
  <si>
    <t>Grupo de conta</t>
  </si>
  <si>
    <t>Sub-grupo de conta</t>
  </si>
  <si>
    <t>Cod.</t>
  </si>
  <si>
    <t>Data</t>
  </si>
  <si>
    <t>Descritivo</t>
  </si>
  <si>
    <t>Valor R$</t>
  </si>
  <si>
    <t>C.Corrente (+ / -)</t>
  </si>
  <si>
    <t>Dinheiro (+ / -)</t>
  </si>
  <si>
    <t>C. de Crédito (+)</t>
  </si>
  <si>
    <t>Saldo no mês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</si>
  <si>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</si>
  <si>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</si>
  <si>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</si>
  <si>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</si>
  <si>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</si>
  <si>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</si>
  <si>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</si>
  <si>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</si>
  <si>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</si>
  <si>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</si>
  <si>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</si>
  <si>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Receitas</t>
  </si>
  <si>
    <t>Ano:</t>
  </si>
  <si>
    <t>Período</t>
  </si>
  <si>
    <t xml:space="preserve">Total </t>
  </si>
  <si>
    <t>Média</t>
  </si>
  <si>
    <t>Receitas Totais</t>
  </si>
  <si>
    <t>Saldo Mês Anterior</t>
  </si>
  <si>
    <t>Entradas Roberto</t>
  </si>
  <si>
    <t>Mastercard</t>
  </si>
  <si>
    <t>Bridge (Contrato I)</t>
  </si>
  <si>
    <t>Empréstimos</t>
  </si>
  <si>
    <t>Entradas Mariana</t>
  </si>
  <si>
    <t>Estágio/Consultoria</t>
  </si>
  <si>
    <t>Processo Trabalhista</t>
  </si>
  <si>
    <t>Parcelas Filipe</t>
  </si>
  <si>
    <t>Vendas</t>
  </si>
  <si>
    <t>Entradas Manuela</t>
  </si>
  <si>
    <t>Pensão Mensal</t>
  </si>
  <si>
    <t>Pensão (Décimo Terceiro)</t>
  </si>
  <si>
    <t>Pensão (PLR)</t>
  </si>
  <si>
    <t>Não Programadas</t>
  </si>
  <si>
    <t>Despesas</t>
  </si>
  <si>
    <t>Despesas Totais</t>
  </si>
  <si>
    <t>Meio de Pagamento</t>
  </si>
  <si>
    <t>Cartão</t>
  </si>
  <si>
    <t>Dinheiro</t>
  </si>
  <si>
    <t>Sub-Total Despesas</t>
  </si>
  <si>
    <t>Moradia</t>
  </si>
  <si>
    <t>Aluguel</t>
  </si>
  <si>
    <t>Energia Elétrica</t>
  </si>
  <si>
    <t>Água e Saneamento</t>
  </si>
  <si>
    <t>TV / Internet / Telefones</t>
  </si>
  <si>
    <t>Reparos e Manutenção</t>
  </si>
  <si>
    <t>Outras despesas</t>
  </si>
  <si>
    <t>Móveis, itens casa</t>
  </si>
  <si>
    <t>Netflix</t>
  </si>
  <si>
    <t>Hbo</t>
  </si>
  <si>
    <t>Spotfy</t>
  </si>
  <si>
    <t>Amazon Prime</t>
  </si>
  <si>
    <t>Apple</t>
  </si>
  <si>
    <t>Ifood</t>
  </si>
  <si>
    <t>Alimentação</t>
  </si>
  <si>
    <t>Supermercado</t>
  </si>
  <si>
    <t>Feira  / Sacolão</t>
  </si>
  <si>
    <t>Padaria</t>
  </si>
  <si>
    <t>Açougue</t>
  </si>
  <si>
    <t>Nespresso</t>
  </si>
  <si>
    <t>Sorveteria</t>
  </si>
  <si>
    <t>Agua</t>
  </si>
  <si>
    <t>Transporte</t>
  </si>
  <si>
    <t>Combustível</t>
  </si>
  <si>
    <t>Manutenção</t>
  </si>
  <si>
    <t>Vistoria</t>
  </si>
  <si>
    <t>Pedágios</t>
  </si>
  <si>
    <t>Estacionamento</t>
  </si>
  <si>
    <t>Multas</t>
  </si>
  <si>
    <t>Seguro</t>
  </si>
  <si>
    <t>IPVA</t>
  </si>
  <si>
    <t>Uber</t>
  </si>
  <si>
    <t>Documentos</t>
  </si>
  <si>
    <t>Saúde</t>
  </si>
  <si>
    <t>Convênio Médico</t>
  </si>
  <si>
    <t>Medicamentos</t>
  </si>
  <si>
    <t>Higiêne Pessoal</t>
  </si>
  <si>
    <t>Dentista</t>
  </si>
  <si>
    <t>Emergências</t>
  </si>
  <si>
    <t>Pessoal</t>
  </si>
  <si>
    <t>Academias / Esportes</t>
  </si>
  <si>
    <t>Salão de Beleza</t>
  </si>
  <si>
    <t xml:space="preserve">Presentes </t>
  </si>
  <si>
    <t>Vestuário</t>
  </si>
  <si>
    <t>Terapia / Tratamentos</t>
  </si>
  <si>
    <t>Restaurante Trabalho</t>
  </si>
  <si>
    <t>Cigarro</t>
  </si>
  <si>
    <t>Cerveja</t>
  </si>
  <si>
    <t>Dogs</t>
  </si>
  <si>
    <t xml:space="preserve">Ração </t>
  </si>
  <si>
    <t>Banho e Tosa</t>
  </si>
  <si>
    <t>Veterinário</t>
  </si>
  <si>
    <t>Assessórios / Brinquedos</t>
  </si>
  <si>
    <t>Lazer</t>
  </si>
  <si>
    <t>Restaurantes e Passeios</t>
  </si>
  <si>
    <t>Diversão Local</t>
  </si>
  <si>
    <t>Famílias e Amigos</t>
  </si>
  <si>
    <t xml:space="preserve">Viagens </t>
  </si>
  <si>
    <t>Despesas Financeiras</t>
  </si>
  <si>
    <t>Taxas Bancárias</t>
  </si>
  <si>
    <t>Saques</t>
  </si>
  <si>
    <t>Seguro de Vida</t>
  </si>
  <si>
    <t>Imposto de Renda</t>
  </si>
  <si>
    <t>Jogos Loteria</t>
  </si>
  <si>
    <t>Correios</t>
  </si>
  <si>
    <t>Cartório</t>
  </si>
  <si>
    <t>Contador</t>
  </si>
  <si>
    <t>Impostos Empresa</t>
  </si>
  <si>
    <t>Cartões &amp; Wallets</t>
  </si>
  <si>
    <t>Cartão Itau Click</t>
  </si>
  <si>
    <t>Cartão Itau Uniclass</t>
  </si>
  <si>
    <t>Wise</t>
  </si>
  <si>
    <t>Santander</t>
  </si>
  <si>
    <t>Shoppe</t>
  </si>
  <si>
    <t>Mercado Livre</t>
  </si>
  <si>
    <t>Torra Torra</t>
  </si>
  <si>
    <t>Roberto Individual</t>
  </si>
  <si>
    <t>Melissa Advogada</t>
  </si>
  <si>
    <t>Assinaturas</t>
  </si>
  <si>
    <t>Telegrama</t>
  </si>
  <si>
    <t>Celular</t>
  </si>
  <si>
    <t>Mariana Individual</t>
  </si>
  <si>
    <t>Faculdade UNIP</t>
  </si>
  <si>
    <t>Livros e Materiais</t>
  </si>
  <si>
    <t>Mesada</t>
  </si>
  <si>
    <t>Lanche</t>
  </si>
  <si>
    <t>OAB</t>
  </si>
  <si>
    <t>Manuela Individual</t>
  </si>
  <si>
    <t>Escola Manuela</t>
  </si>
  <si>
    <t>Uniforme</t>
  </si>
  <si>
    <t>Passeios</t>
  </si>
  <si>
    <t>Despesas Extraordinárias</t>
  </si>
  <si>
    <t>Dizimo Igreja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</si>
</sst>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_-;\-* #,##0.00_-;_-* \-??_-;_-@"/>
    <numFmt numFmtId="165" formatCode="[$-416]d\-mmm"/>
    <numFmt numFmtId="166" formatCode="_(* #,##0.00_);_(* \(#,##0.00\);_(* &quot;-&quot;??_);_(@_)"/>
    <numFmt numFmtId="167" formatCode="mmm&quot;/&quot;yy"/>
    <numFmt numFmtId="168" formatCode="_(* #,##0.00_);_(* \(#,##0.00\);_(* \-??_);_(@_)"/>
    <numFmt numFmtId="169" formatCode="d/m"/>
  </numFmts>
  <fonts count="42">
    <font>
      <sz val="11.0"/>
      <color rgb="FF000000"/>
      <name val="Calibri"/>
      <scheme val="minor"/>
    </font>
    <font>
      <sz val="11.0"/>
      <color rgb="FF000000"/>
      <name val="Calibri"/>
    </font>
    <font>
      <b/>
      <sz val="40.0"/>
      <color rgb="FF000080"/>
      <name val="Batang"/>
    </font>
    <font>
      <b/>
      <sz val="36.0"/>
      <color rgb="FF366092"/>
      <name val="Calibri"/>
    </font>
    <font>
      <b/>
      <sz val="10.0"/>
      <color rgb="FF000080"/>
      <name val="Calibri"/>
    </font>
    <font>
      <b/>
      <sz val="11.0"/>
      <color rgb="FF000000"/>
      <name val="Calibri"/>
    </font>
    <font>
      <b/>
      <sz val="48.0"/>
      <color rgb="FF366092"/>
      <name val="Calibri"/>
    </font>
    <font>
      <b/>
      <sz val="48.0"/>
      <color theme="0"/>
      <name val="Calibri"/>
    </font>
    <font>
      <b/>
      <sz val="18.0"/>
      <color rgb="FF17365D"/>
      <name val="Calibri"/>
    </font>
    <font>
      <b/>
      <sz val="10.0"/>
      <color theme="0"/>
      <name val="Calibri"/>
    </font>
    <font>
      <b/>
      <sz val="16.0"/>
      <color rgb="FF17365D"/>
      <name val="Calibri"/>
    </font>
    <font>
      <b/>
      <sz val="16.0"/>
      <color theme="0"/>
      <name val="Calibri"/>
    </font>
    <font/>
    <font>
      <b/>
      <sz val="14.0"/>
      <color rgb="FFFFFFFF"/>
      <name val="Calibri"/>
    </font>
    <font>
      <b/>
      <sz val="12.0"/>
      <color rgb="FFFFFFFF"/>
      <name val="Calibri"/>
    </font>
    <font>
      <b/>
      <sz val="11.0"/>
      <color theme="0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theme="0"/>
      <name val="Calibri"/>
    </font>
    <font>
      <b/>
      <sz val="14.0"/>
      <color theme="0"/>
      <name val="Calibri"/>
    </font>
    <font>
      <b/>
      <sz val="10.0"/>
      <color rgb="FF000000"/>
      <name val="Calibri"/>
    </font>
    <font>
      <sz val="14.0"/>
      <color rgb="FF000000"/>
      <name val="Lato"/>
    </font>
    <font>
      <b/>
      <sz val="14.0"/>
      <color rgb="FF000000"/>
      <name val="Lato"/>
    </font>
    <font>
      <sz val="14.0"/>
      <color rgb="FF351C75"/>
      <name val="Lato"/>
    </font>
    <font>
      <b/>
      <sz val="14.0"/>
      <color rgb="FF0B5394"/>
      <name val="Lato"/>
    </font>
    <font>
      <color rgb="FF0B5394"/>
      <name val="Calibri"/>
      <scheme val="minor"/>
    </font>
    <font>
      <sz val="12.0"/>
      <color rgb="FF0B5394"/>
      <name val="Lato"/>
    </font>
    <font>
      <b/>
      <sz val="12.0"/>
      <color rgb="FF0B5394"/>
      <name val="Lato"/>
    </font>
    <font>
      <b/>
      <sz val="14.0"/>
      <color rgb="FF351C75"/>
      <name val="Lato"/>
    </font>
    <font>
      <b/>
      <sz val="11.0"/>
      <color rgb="FF4A86E8"/>
      <name val="Lato"/>
    </font>
    <font>
      <b/>
      <sz val="11.0"/>
      <color rgb="FFFFFFFF"/>
      <name val="Lato"/>
    </font>
    <font>
      <sz val="11.0"/>
      <color rgb="FF4A86E8"/>
      <name val="Lato"/>
    </font>
    <font>
      <sz val="11.0"/>
      <color rgb="FF000000"/>
      <name val="Lato"/>
    </font>
    <font>
      <b/>
      <sz val="11.0"/>
      <color rgb="FF000000"/>
      <name val="Lato"/>
    </font>
    <font>
      <b/>
      <sz val="10.0"/>
      <color rgb="FF000000"/>
      <name val="Lato"/>
    </font>
    <font>
      <sz val="10.0"/>
      <color rgb="FF000000"/>
      <name val="Lato"/>
    </font>
    <font>
      <color rgb="FF000000"/>
      <name val="Lato"/>
    </font>
    <font>
      <sz val="12.0"/>
      <color rgb="FF351C75"/>
      <name val="Lato"/>
    </font>
    <font>
      <b/>
      <sz val="12.0"/>
      <color rgb="FF351C75"/>
      <name val="Lato"/>
    </font>
    <font>
      <b/>
      <sz val="10.0"/>
      <color rgb="FF351C75"/>
      <name val="Lato"/>
    </font>
    <font>
      <sz val="10.0"/>
      <color theme="1"/>
      <name val="Lato"/>
    </font>
    <font>
      <sz val="11.0"/>
      <color rgb="FF000000"/>
      <name val="Open Sans"/>
    </font>
  </fonts>
  <fills count="1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649691"/>
        <bgColor rgb="FF64969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EEFBFF"/>
        <bgColor rgb="FFEEFBFF"/>
      </patternFill>
    </fill>
    <fill>
      <patternFill patternType="solid">
        <fgColor rgb="FFCFE2F3"/>
        <bgColor rgb="FFCFE2F3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/>
      <right/>
    </border>
    <border>
      <left/>
      <right style="thin">
        <color rgb="FF95B3D7"/>
      </right>
      <top/>
      <bottom style="thin">
        <color rgb="FF95B3D7"/>
      </bottom>
    </border>
    <border>
      <left/>
      <right/>
      <top/>
      <bottom style="thin">
        <color rgb="FF366092"/>
      </bottom>
    </border>
    <border>
      <left/>
      <right/>
      <top/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  <border>
      <right/>
      <top/>
      <bottom/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351C75"/>
      </left>
      <top style="thin">
        <color rgb="FF351C75"/>
      </top>
      <bottom style="thin">
        <color rgb="FF351C75"/>
      </bottom>
    </border>
    <border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" numFmtId="164" xfId="0" applyFont="1" applyNumberFormat="1"/>
    <xf borderId="1" fillId="2" fontId="8" numFmtId="0" xfId="0" applyAlignment="1" applyBorder="1" applyFill="1" applyFont="1">
      <alignment horizontal="left" vertical="center"/>
    </xf>
    <xf borderId="1" fillId="2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left"/>
    </xf>
    <xf borderId="1" fillId="2" fontId="10" numFmtId="0" xfId="0" applyAlignment="1" applyBorder="1" applyFont="1">
      <alignment horizontal="right" vertical="center"/>
    </xf>
    <xf borderId="1" fillId="2" fontId="10" numFmtId="0" xfId="0" applyAlignment="1" applyBorder="1" applyFont="1">
      <alignment vertical="center"/>
    </xf>
    <xf borderId="1" fillId="2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2" fillId="2" fontId="10" numFmtId="0" xfId="0" applyAlignment="1" applyBorder="1" applyFont="1">
      <alignment horizontal="center" vertical="center"/>
    </xf>
    <xf borderId="3" fillId="0" fontId="12" numFmtId="0" xfId="0" applyBorder="1" applyFont="1"/>
    <xf borderId="1" fillId="3" fontId="13" numFmtId="0" xfId="0" applyAlignment="1" applyBorder="1" applyFill="1" applyFont="1">
      <alignment horizontal="left" vertical="center"/>
    </xf>
    <xf borderId="1" fillId="3" fontId="13" numFmtId="0" xfId="0" applyAlignment="1" applyBorder="1" applyFont="1">
      <alignment horizontal="center" vertical="center"/>
    </xf>
    <xf borderId="1" fillId="3" fontId="13" numFmtId="17" xfId="0" applyAlignment="1" applyBorder="1" applyFont="1" applyNumberFormat="1">
      <alignment horizontal="center"/>
    </xf>
    <xf borderId="1" fillId="3" fontId="13" numFmtId="0" xfId="0" applyAlignment="1" applyBorder="1" applyFont="1">
      <alignment horizontal="center"/>
    </xf>
    <xf borderId="4" fillId="3" fontId="14" numFmtId="0" xfId="0" applyAlignment="1" applyBorder="1" applyFont="1">
      <alignment horizontal="left" vertical="top"/>
    </xf>
    <xf borderId="0" fillId="0" fontId="15" numFmtId="0" xfId="0" applyAlignment="1" applyFont="1">
      <alignment horizontal="center" vertical="center"/>
    </xf>
    <xf borderId="2" fillId="3" fontId="13" numFmtId="17" xfId="0" applyAlignment="1" applyBorder="1" applyFont="1" applyNumberFormat="1">
      <alignment horizontal="center"/>
    </xf>
    <xf borderId="1" fillId="3" fontId="16" numFmtId="17" xfId="0" applyBorder="1" applyFont="1" applyNumberFormat="1"/>
    <xf borderId="1" fillId="3" fontId="13" numFmtId="17" xfId="0" applyAlignment="1" applyBorder="1" applyFont="1" applyNumberFormat="1">
      <alignment horizontal="center" vertical="center"/>
    </xf>
    <xf borderId="5" fillId="0" fontId="12" numFmtId="0" xfId="0" applyBorder="1" applyFont="1"/>
    <xf borderId="6" fillId="3" fontId="17" numFmtId="0" xfId="0" applyAlignment="1" applyBorder="1" applyFont="1">
      <alignment horizontal="center" vertical="center"/>
    </xf>
    <xf borderId="7" fillId="3" fontId="13" numFmtId="0" xfId="0" applyAlignment="1" applyBorder="1" applyFont="1">
      <alignment vertical="center"/>
    </xf>
    <xf borderId="7" fillId="3" fontId="13" numFmtId="0" xfId="0" applyAlignment="1" applyBorder="1" applyFont="1">
      <alignment horizontal="left" vertical="center"/>
    </xf>
    <xf borderId="8" fillId="3" fontId="14" numFmtId="0" xfId="0" applyAlignment="1" applyBorder="1" applyFont="1">
      <alignment horizontal="left" vertical="top"/>
    </xf>
    <xf borderId="9" fillId="4" fontId="1" numFmtId="40" xfId="0" applyBorder="1" applyFill="1" applyFont="1" applyNumberFormat="1"/>
    <xf borderId="10" fillId="4" fontId="1" numFmtId="40" xfId="0" applyBorder="1" applyFont="1" applyNumberFormat="1"/>
    <xf borderId="1" fillId="3" fontId="17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center"/>
    </xf>
    <xf borderId="10" fillId="0" fontId="1" numFmtId="165" xfId="0" applyBorder="1" applyFont="1" applyNumberFormat="1"/>
    <xf borderId="10" fillId="0" fontId="1" numFmtId="164" xfId="0" applyBorder="1" applyFont="1" applyNumberFormat="1"/>
    <xf borderId="10" fillId="4" fontId="1" numFmtId="164" xfId="0" applyBorder="1" applyFont="1" applyNumberFormat="1"/>
    <xf borderId="10" fillId="0" fontId="1" numFmtId="164" xfId="0" applyAlignment="1" applyBorder="1" applyFont="1" applyNumberFormat="1">
      <alignment horizontal="left"/>
    </xf>
    <xf borderId="0" fillId="0" fontId="18" numFmtId="0" xfId="0" applyFont="1"/>
    <xf borderId="9" fillId="5" fontId="1" numFmtId="40" xfId="0" applyBorder="1" applyFill="1" applyFont="1" applyNumberFormat="1"/>
    <xf borderId="10" fillId="5" fontId="1" numFmtId="40" xfId="0" applyBorder="1" applyFont="1" applyNumberFormat="1"/>
    <xf borderId="0" fillId="0" fontId="19" numFmtId="0" xfId="0" applyAlignment="1" applyFont="1">
      <alignment horizontal="left" vertical="center"/>
    </xf>
    <xf borderId="1" fillId="3" fontId="19" numFmtId="166" xfId="0" applyAlignment="1" applyBorder="1" applyFont="1" applyNumberFormat="1">
      <alignment horizontal="left" vertical="center"/>
    </xf>
    <xf borderId="1" fillId="3" fontId="19" numFmtId="166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/>
    </xf>
    <xf borderId="8" fillId="3" fontId="14" numFmtId="0" xfId="0" applyAlignment="1" applyBorder="1" applyFont="1">
      <alignment vertical="top"/>
    </xf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horizontal="left" readingOrder="0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0" fillId="0" fontId="25" numFmtId="0" xfId="0" applyFont="1"/>
    <xf borderId="0" fillId="0" fontId="26" numFmtId="0" xfId="0" applyAlignment="1" applyFont="1">
      <alignment horizontal="right" readingOrder="0" vertical="center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2" fillId="6" fontId="29" numFmtId="0" xfId="0" applyAlignment="1" applyBorder="1" applyFill="1" applyFont="1">
      <alignment vertical="center"/>
    </xf>
    <xf borderId="11" fillId="7" fontId="30" numFmtId="0" xfId="0" applyAlignment="1" applyBorder="1" applyFill="1" applyFont="1">
      <alignment horizontal="left" readingOrder="0" vertical="center"/>
    </xf>
    <xf borderId="11" fillId="7" fontId="30" numFmtId="167" xfId="0" applyAlignment="1" applyBorder="1" applyFont="1" applyNumberFormat="1">
      <alignment horizontal="center" readingOrder="0" vertical="center"/>
    </xf>
    <xf borderId="11" fillId="7" fontId="30" numFmtId="0" xfId="0" applyAlignment="1" applyBorder="1" applyFont="1">
      <alignment horizontal="center" vertical="center"/>
    </xf>
    <xf borderId="11" fillId="7" fontId="30" numFmtId="0" xfId="0" applyAlignment="1" applyBorder="1" applyFont="1">
      <alignment horizontal="center" readingOrder="0" vertical="center"/>
    </xf>
    <xf borderId="12" fillId="6" fontId="29" numFmtId="0" xfId="0" applyAlignment="1" applyBorder="1" applyFont="1">
      <alignment vertical="center"/>
    </xf>
    <xf borderId="0" fillId="6" fontId="31" numFmtId="0" xfId="0" applyAlignment="1" applyFont="1">
      <alignment vertical="center"/>
    </xf>
    <xf borderId="0" fillId="0" fontId="32" numFmtId="164" xfId="0" applyAlignment="1" applyFont="1" applyNumberFormat="1">
      <alignment readingOrder="0" vertical="center"/>
    </xf>
    <xf borderId="2" fillId="0" fontId="33" numFmtId="0" xfId="0" applyAlignment="1" applyBorder="1" applyFont="1">
      <alignment vertical="center"/>
    </xf>
    <xf borderId="11" fillId="8" fontId="34" numFmtId="164" xfId="0" applyAlignment="1" applyBorder="1" applyFill="1" applyFont="1" applyNumberFormat="1">
      <alignment readingOrder="0" vertical="center"/>
    </xf>
    <xf borderId="11" fillId="8" fontId="34" numFmtId="168" xfId="0" applyAlignment="1" applyBorder="1" applyFont="1" applyNumberFormat="1">
      <alignment vertical="center"/>
    </xf>
    <xf borderId="12" fillId="0" fontId="33" numFmtId="0" xfId="0" applyAlignment="1" applyBorder="1" applyFont="1">
      <alignment vertical="center"/>
    </xf>
    <xf borderId="0" fillId="0" fontId="33" numFmtId="0" xfId="0" applyAlignment="1" applyFont="1">
      <alignment vertical="center"/>
    </xf>
    <xf borderId="2" fillId="0" fontId="32" numFmtId="0" xfId="0" applyAlignment="1" applyBorder="1" applyFont="1">
      <alignment vertical="center"/>
    </xf>
    <xf borderId="11" fillId="0" fontId="35" numFmtId="164" xfId="0" applyAlignment="1" applyBorder="1" applyFont="1" applyNumberFormat="1">
      <alignment readingOrder="0" vertical="center"/>
    </xf>
    <xf borderId="11" fillId="0" fontId="35" numFmtId="168" xfId="0" applyAlignment="1" applyBorder="1" applyFont="1" applyNumberFormat="1">
      <alignment readingOrder="0" vertical="center"/>
    </xf>
    <xf borderId="11" fillId="9" fontId="34" numFmtId="164" xfId="0" applyAlignment="1" applyBorder="1" applyFill="1" applyFont="1" applyNumberFormat="1">
      <alignment vertical="center"/>
    </xf>
    <xf borderId="11" fillId="0" fontId="34" numFmtId="164" xfId="0" applyAlignment="1" applyBorder="1" applyFont="1" applyNumberFormat="1">
      <alignment vertical="center"/>
    </xf>
    <xf borderId="12" fillId="0" fontId="32" numFmtId="0" xfId="0" applyAlignment="1" applyBorder="1" applyFont="1">
      <alignment vertical="center"/>
    </xf>
    <xf borderId="0" fillId="0" fontId="32" numFmtId="0" xfId="0" applyAlignment="1" applyFont="1">
      <alignment vertical="center"/>
    </xf>
    <xf borderId="11" fillId="10" fontId="34" numFmtId="164" xfId="0" applyAlignment="1" applyBorder="1" applyFill="1" applyFont="1" applyNumberFormat="1">
      <alignment readingOrder="0" vertical="center"/>
    </xf>
    <xf borderId="11" fillId="10" fontId="34" numFmtId="168" xfId="0" applyAlignment="1" applyBorder="1" applyFont="1" applyNumberFormat="1">
      <alignment vertical="center"/>
    </xf>
    <xf borderId="11" fillId="0" fontId="35" numFmtId="164" xfId="0" applyAlignment="1" applyBorder="1" applyFont="1" applyNumberFormat="1">
      <alignment readingOrder="0" vertical="center"/>
    </xf>
    <xf borderId="11" fillId="0" fontId="35" numFmtId="168" xfId="0" applyAlignment="1" applyBorder="1" applyFont="1" applyNumberFormat="1">
      <alignment readingOrder="0" vertical="center"/>
    </xf>
    <xf borderId="11" fillId="9" fontId="34" numFmtId="164" xfId="0" applyAlignment="1" applyBorder="1" applyFont="1" applyNumberFormat="1">
      <alignment vertical="center"/>
    </xf>
    <xf borderId="11" fillId="0" fontId="34" numFmtId="164" xfId="0" applyAlignment="1" applyBorder="1" applyFont="1" applyNumberFormat="1">
      <alignment vertical="center"/>
    </xf>
    <xf borderId="11" fillId="0" fontId="35" numFmtId="164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0" fillId="0" fontId="28" numFmtId="0" xfId="0" applyAlignment="1" applyFont="1">
      <alignment horizontal="left" readingOrder="0" vertical="center"/>
    </xf>
    <xf borderId="0" fillId="0" fontId="28" numFmtId="169" xfId="0" applyAlignment="1" applyFont="1" applyNumberFormat="1">
      <alignment readingOrder="0" vertical="center"/>
    </xf>
    <xf borderId="0" fillId="0" fontId="28" numFmtId="0" xfId="0" applyAlignment="1" applyFont="1">
      <alignment readingOrder="0" vertical="center"/>
    </xf>
    <xf borderId="0" fillId="0" fontId="37" numFmtId="0" xfId="0" applyAlignment="1" applyFont="1">
      <alignment horizontal="right" readingOrder="0" vertical="center"/>
    </xf>
    <xf borderId="0" fillId="0" fontId="38" numFmtId="0" xfId="0" applyAlignment="1" applyFont="1">
      <alignment horizontal="center" readingOrder="0" vertical="center"/>
    </xf>
    <xf borderId="13" fillId="11" fontId="30" numFmtId="0" xfId="0" applyAlignment="1" applyBorder="1" applyFill="1" applyFont="1">
      <alignment horizontal="left" readingOrder="0" vertical="center"/>
    </xf>
    <xf borderId="13" fillId="11" fontId="30" numFmtId="167" xfId="0" applyAlignment="1" applyBorder="1" applyFont="1" applyNumberFormat="1">
      <alignment horizontal="center" readingOrder="0" vertical="center"/>
    </xf>
    <xf borderId="14" fillId="0" fontId="12" numFmtId="0" xfId="0" applyBorder="1" applyFont="1"/>
    <xf borderId="15" fillId="11" fontId="30" numFmtId="0" xfId="0" applyAlignment="1" applyBorder="1" applyFont="1">
      <alignment horizontal="center" vertical="center"/>
    </xf>
    <xf borderId="15" fillId="11" fontId="30" numFmtId="0" xfId="0" applyAlignment="1" applyBorder="1" applyFont="1">
      <alignment horizontal="center" readingOrder="0" vertical="center"/>
    </xf>
    <xf borderId="16" fillId="12" fontId="34" numFmtId="164" xfId="0" applyAlignment="1" applyBorder="1" applyFill="1" applyFont="1" applyNumberFormat="1">
      <alignment readingOrder="0" vertical="center"/>
    </xf>
    <xf borderId="16" fillId="12" fontId="34" numFmtId="168" xfId="0" applyAlignment="1" applyBorder="1" applyFont="1" applyNumberFormat="1">
      <alignment vertical="center"/>
    </xf>
    <xf borderId="17" fillId="0" fontId="12" numFmtId="0" xfId="0" applyBorder="1" applyFont="1"/>
    <xf borderId="18" fillId="12" fontId="34" numFmtId="168" xfId="0" applyAlignment="1" applyBorder="1" applyFont="1" applyNumberFormat="1">
      <alignment vertical="center"/>
    </xf>
    <xf borderId="18" fillId="13" fontId="39" numFmtId="168" xfId="0" applyAlignment="1" applyBorder="1" applyFill="1" applyFont="1" applyNumberFormat="1">
      <alignment horizontal="left" readingOrder="0" vertical="center"/>
    </xf>
    <xf borderId="18" fillId="14" fontId="34" numFmtId="168" xfId="0" applyAlignment="1" applyBorder="1" applyFill="1" applyFont="1" applyNumberFormat="1">
      <alignment horizontal="center" readingOrder="0" vertical="center"/>
    </xf>
    <xf borderId="18" fillId="15" fontId="34" numFmtId="168" xfId="0" applyAlignment="1" applyBorder="1" applyFill="1" applyFont="1" applyNumberFormat="1">
      <alignment horizontal="center" readingOrder="0" vertical="center"/>
    </xf>
    <xf borderId="18" fillId="0" fontId="34" numFmtId="168" xfId="0" applyAlignment="1" applyBorder="1" applyFont="1" applyNumberFormat="1">
      <alignment vertical="center"/>
    </xf>
    <xf borderId="16" fillId="16" fontId="34" numFmtId="164" xfId="0" applyAlignment="1" applyBorder="1" applyFill="1" applyFont="1" applyNumberFormat="1">
      <alignment readingOrder="0" vertical="center"/>
    </xf>
    <xf borderId="18" fillId="16" fontId="34" numFmtId="168" xfId="0" applyAlignment="1" applyBorder="1" applyFont="1" applyNumberFormat="1">
      <alignment readingOrder="0" vertical="center"/>
    </xf>
    <xf borderId="18" fillId="0" fontId="34" numFmtId="168" xfId="0" applyAlignment="1" applyBorder="1" applyFont="1" applyNumberFormat="1">
      <alignment readingOrder="0" vertical="center"/>
    </xf>
    <xf borderId="18" fillId="0" fontId="34" numFmtId="164" xfId="0" applyAlignment="1" applyBorder="1" applyFont="1" applyNumberFormat="1">
      <alignment vertical="center"/>
    </xf>
    <xf borderId="16" fillId="0" fontId="35" numFmtId="164" xfId="0" applyAlignment="1" applyBorder="1" applyFont="1" applyNumberFormat="1">
      <alignment readingOrder="0" vertical="center"/>
    </xf>
    <xf borderId="18" fillId="0" fontId="35" numFmtId="168" xfId="0" applyAlignment="1" applyBorder="1" applyFont="1" applyNumberFormat="1">
      <alignment readingOrder="0" vertical="center"/>
    </xf>
    <xf borderId="18" fillId="17" fontId="34" numFmtId="164" xfId="0" applyAlignment="1" applyBorder="1" applyFill="1" applyFont="1" applyNumberFormat="1">
      <alignment vertical="center"/>
    </xf>
    <xf borderId="16" fillId="17" fontId="34" numFmtId="168" xfId="0" applyAlignment="1" applyBorder="1" applyFont="1" applyNumberFormat="1">
      <alignment horizontal="center" vertical="center"/>
    </xf>
    <xf borderId="18" fillId="17" fontId="34" numFmtId="168" xfId="0" applyAlignment="1" applyBorder="1" applyFont="1" applyNumberFormat="1">
      <alignment vertical="center"/>
    </xf>
    <xf borderId="18" fillId="0" fontId="35" numFmtId="164" xfId="0" applyAlignment="1" applyBorder="1" applyFont="1" applyNumberFormat="1">
      <alignment vertical="center"/>
    </xf>
    <xf borderId="18" fillId="0" fontId="35" numFmtId="168" xfId="0" applyAlignment="1" applyBorder="1" applyFont="1" applyNumberFormat="1">
      <alignment readingOrder="0" vertical="center"/>
    </xf>
    <xf borderId="18" fillId="0" fontId="34" numFmtId="164" xfId="0" applyAlignment="1" applyBorder="1" applyFont="1" applyNumberFormat="1">
      <alignment vertical="center"/>
    </xf>
    <xf borderId="18" fillId="0" fontId="35" numFmtId="164" xfId="0" applyAlignment="1" applyBorder="1" applyFont="1" applyNumberFormat="1">
      <alignment readingOrder="0" vertical="center"/>
    </xf>
    <xf borderId="18" fillId="0" fontId="40" numFmtId="168" xfId="0" applyAlignment="1" applyBorder="1" applyFont="1" applyNumberFormat="1">
      <alignment readingOrder="0" vertical="center"/>
    </xf>
    <xf borderId="16" fillId="17" fontId="34" numFmtId="168" xfId="0" applyAlignment="1" applyBorder="1" applyFont="1" applyNumberFormat="1">
      <alignment vertical="center"/>
    </xf>
    <xf borderId="18" fillId="17" fontId="34" numFmtId="164" xfId="0" applyAlignment="1" applyBorder="1" applyFont="1" applyNumberFormat="1">
      <alignment readingOrder="0" vertical="center"/>
    </xf>
    <xf borderId="2" fillId="0" fontId="41" numFmtId="0" xfId="0" applyBorder="1" applyFont="1"/>
    <xf borderId="0" fillId="0" fontId="4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2">
    <tableStyle count="2" pivot="0" name="Receitas 2026-style">
      <tableStyleElement dxfId="1" type="firstRowStripe"/>
      <tableStyleElement dxfId="2" type="secondRowStripe"/>
    </tableStyle>
    <tableStyle count="2" pivot="0" name="Despesas 2026-style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P1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Receitas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B9:AB21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Despesas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31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798611111111111" footer="0.0" header="0.0" left="0.24027777777777778" right="0.24027777777777778" top="0.170138888888888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16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5748031496062992" footer="0.0" header="0.0" left="0.2362204724409449" right="0.2362204724409449" top="0.15748031496062992"/>
  <pageSetup paperSize="9" scale="6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17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18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9027777777777777" footer="0.0" header="0.0" left="0.24027777777777778" right="0.24027777777777778" top="0.190277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19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701388888888889" footer="0.0" header="0.0" left="0.24027777777777778" right="0.24027777777777778" top="0.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20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5748031496062992" footer="0.0" header="0.0" left="0.2362204724409449" right="0.2362204724409449" top="0.15748031496062992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21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798611111111111" footer="0.0" header="0.0" left="0.24027777777777778" right="0.24027777777777778" top="0.2097222222222222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22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19027777777777777" footer="0.0" header="0.0" left="0.24027777777777778" right="0.24027777777777778" top="0.2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23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" footer="0.0" header="0.0" left="0.24027777777777778" right="0.24027777777777778" top="0.2201388888888888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24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298611111111111" footer="0.0" header="0.0" left="0.24027777777777778" right="0.24027777777777778" top="0.3097222222222222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25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/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2298611111111111" footer="0.0" header="0.0" left="0.25" right="0.24027777777777778" top="0.2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86"/>
    <col customWidth="1" min="2" max="2" width="18.29"/>
    <col customWidth="1" min="3" max="3" width="31.86"/>
    <col customWidth="1" min="4" max="4" width="5.71"/>
    <col customWidth="1" min="5" max="5" width="7.71"/>
    <col customWidth="1" min="6" max="6" width="44.86"/>
    <col customWidth="1" min="7" max="7" width="11.86"/>
    <col customWidth="1" min="8" max="8" width="19.29"/>
    <col customWidth="1" min="9" max="9" width="0.86"/>
    <col customWidth="1" min="10" max="10" width="15.43"/>
    <col customWidth="1" min="11" max="11" width="14.71"/>
    <col customWidth="1" min="12" max="12" width="15.86"/>
    <col customWidth="1" min="13" max="26" width="8.86"/>
  </cols>
  <sheetData>
    <row r="1" ht="55.5" customHeight="1">
      <c r="A1" s="1"/>
      <c r="B1" s="2"/>
      <c r="C1" s="3" t="s">
        <v>0</v>
      </c>
      <c r="D1" s="4"/>
      <c r="E1" s="5"/>
      <c r="F1" s="5"/>
      <c r="G1" s="6"/>
      <c r="H1" s="6"/>
      <c r="I1" s="7"/>
      <c r="J1" s="8"/>
      <c r="K1" s="8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9" t="s">
        <v>1</v>
      </c>
      <c r="C2" s="10"/>
      <c r="D2" s="11"/>
      <c r="E2" s="10"/>
      <c r="F2" s="12" t="s">
        <v>26</v>
      </c>
      <c r="G2" s="13"/>
      <c r="H2" s="14" t="str">
        <f>+'Instruções'!$I$19</f>
        <v>#REF!</v>
      </c>
      <c r="I2" s="15"/>
      <c r="J2" s="16" t="s">
        <v>3</v>
      </c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/>
      <c r="C3" s="18"/>
      <c r="D3" s="18"/>
      <c r="E3" s="19"/>
      <c r="F3" s="20"/>
      <c r="G3" s="21"/>
      <c r="H3" s="22" t="s">
        <v>4</v>
      </c>
      <c r="I3" s="23"/>
      <c r="J3" s="24" t="s">
        <v>5</v>
      </c>
      <c r="K3" s="17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9" t="s">
        <v>6</v>
      </c>
      <c r="C4" s="19" t="s">
        <v>7</v>
      </c>
      <c r="D4" s="18" t="s">
        <v>8</v>
      </c>
      <c r="E4" s="19" t="s">
        <v>9</v>
      </c>
      <c r="F4" s="26" t="s">
        <v>10</v>
      </c>
      <c r="G4" s="19" t="s">
        <v>11</v>
      </c>
      <c r="H4" s="27"/>
      <c r="I4" s="23"/>
      <c r="J4" s="28" t="s">
        <v>12</v>
      </c>
      <c r="K4" s="28" t="s">
        <v>13</v>
      </c>
      <c r="L4" s="28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9"/>
      <c r="C5" s="30"/>
      <c r="D5" s="18"/>
      <c r="E5" s="19"/>
      <c r="F5" s="20"/>
      <c r="G5" s="21"/>
      <c r="H5" s="47"/>
      <c r="I5" s="23"/>
      <c r="J5" s="32">
        <v>-165.0</v>
      </c>
      <c r="K5" s="33"/>
      <c r="L5" s="3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1.0</v>
      </c>
      <c r="B6" s="34" t="str">
        <f t="shared" ref="B6:B75" si="1">IF(IF(ISERROR(VLOOKUP(D6,Categorias!$B$4:$C$65,2,FALSE)),"",VLOOKUP(D6,Categorias!$B$4:$C$65,2,FALSE))=D6,"",VLOOKUP(D6,(Categorias!$B$4:$C$65),2,FALSE))</f>
        <v/>
      </c>
      <c r="C6" s="34" t="str">
        <f t="shared" ref="C6:C75" si="2">IF(IF(ISERROR(VLOOKUP(D6,Categorias!$B$4:$C$65,2,FALSE)),"",VLOOKUP(D6,Categorias!$B$4:$C$65,2,FALSE))=D6,"",VLOOKUP(D6,(Categorias!$B$2:$D$65),3,FALSE))</f>
        <v/>
      </c>
      <c r="D6" s="35"/>
      <c r="E6" s="36"/>
      <c r="F6" s="37"/>
      <c r="G6" s="38"/>
      <c r="H6" s="39"/>
      <c r="I6" s="40"/>
      <c r="J6" s="41" t="str">
        <f t="shared" ref="J6:J75" si="3">IF(H6="",(""),IF(H6="DP",(J5+G6),IF(H6="DB",(J5-G6),IF(H6="TR",(J5-G6),IF(H6="CH",(J5-G6),IF(H6="SQ",(J5-G6),J5))))))</f>
        <v/>
      </c>
      <c r="K6" s="42" t="str">
        <f t="shared" ref="K6:K75" si="4">IF(H6="",(""),IF(H6="SQ",(K5+G6),IF(H6="RD",(K5+G6),IF(H6="DI",(K5-G6),K5))))</f>
        <v/>
      </c>
      <c r="L6" s="42" t="str">
        <f t="shared" ref="L6:L75" si="5">IF(H6="",(""),IF(H6="CC",(L5+G6),IF(H6="PC",(L5+G6),L5)))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4" t="str">
        <f t="shared" si="1"/>
        <v/>
      </c>
      <c r="C7" s="34" t="str">
        <f t="shared" si="2"/>
        <v/>
      </c>
      <c r="D7" s="35"/>
      <c r="E7" s="36"/>
      <c r="F7" s="37"/>
      <c r="G7" s="38"/>
      <c r="H7" s="39"/>
      <c r="I7" s="40"/>
      <c r="J7" s="41" t="str">
        <f t="shared" si="3"/>
        <v/>
      </c>
      <c r="K7" s="42" t="str">
        <f t="shared" si="4"/>
        <v/>
      </c>
      <c r="L7" s="42" t="str">
        <f t="shared" si="5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4" t="str">
        <f t="shared" si="1"/>
        <v/>
      </c>
      <c r="C8" s="34" t="str">
        <f t="shared" si="2"/>
        <v/>
      </c>
      <c r="D8" s="35"/>
      <c r="E8" s="36"/>
      <c r="F8" s="37"/>
      <c r="G8" s="38"/>
      <c r="H8" s="39"/>
      <c r="I8" s="40"/>
      <c r="J8" s="41" t="str">
        <f t="shared" si="3"/>
        <v/>
      </c>
      <c r="K8" s="42" t="str">
        <f t="shared" si="4"/>
        <v/>
      </c>
      <c r="L8" s="42" t="str">
        <f t="shared" si="5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 t="str">
        <f t="shared" si="1"/>
        <v/>
      </c>
      <c r="C9" s="34" t="str">
        <f t="shared" si="2"/>
        <v/>
      </c>
      <c r="D9" s="35"/>
      <c r="E9" s="36"/>
      <c r="F9" s="37"/>
      <c r="G9" s="38"/>
      <c r="H9" s="39"/>
      <c r="I9" s="40"/>
      <c r="J9" s="41" t="str">
        <f t="shared" si="3"/>
        <v/>
      </c>
      <c r="K9" s="42" t="str">
        <f t="shared" si="4"/>
        <v/>
      </c>
      <c r="L9" s="42" t="str">
        <f t="shared" si="5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tr">
        <f t="shared" si="1"/>
        <v/>
      </c>
      <c r="C10" s="34" t="str">
        <f t="shared" si="2"/>
        <v/>
      </c>
      <c r="D10" s="35"/>
      <c r="E10" s="36"/>
      <c r="F10" s="37"/>
      <c r="G10" s="38"/>
      <c r="H10" s="39"/>
      <c r="I10" s="40"/>
      <c r="J10" s="41" t="str">
        <f t="shared" si="3"/>
        <v/>
      </c>
      <c r="K10" s="42" t="str">
        <f t="shared" si="4"/>
        <v/>
      </c>
      <c r="L10" s="42" t="str">
        <f t="shared" si="5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 t="str">
        <f t="shared" si="1"/>
        <v/>
      </c>
      <c r="C11" s="34" t="str">
        <f t="shared" si="2"/>
        <v/>
      </c>
      <c r="D11" s="35"/>
      <c r="E11" s="36"/>
      <c r="F11" s="1"/>
      <c r="G11" s="38"/>
      <c r="H11" s="39"/>
      <c r="I11" s="40"/>
      <c r="J11" s="41" t="str">
        <f t="shared" si="3"/>
        <v/>
      </c>
      <c r="K11" s="42" t="str">
        <f t="shared" si="4"/>
        <v/>
      </c>
      <c r="L11" s="42" t="str">
        <f t="shared" si="5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tr">
        <f t="shared" si="1"/>
        <v/>
      </c>
      <c r="C12" s="34" t="str">
        <f t="shared" si="2"/>
        <v/>
      </c>
      <c r="D12" s="35"/>
      <c r="E12" s="36"/>
      <c r="F12" s="37"/>
      <c r="G12" s="38"/>
      <c r="H12" s="39"/>
      <c r="I12" s="40"/>
      <c r="J12" s="41" t="str">
        <f t="shared" si="3"/>
        <v/>
      </c>
      <c r="K12" s="42" t="str">
        <f t="shared" si="4"/>
        <v/>
      </c>
      <c r="L12" s="42" t="str">
        <f t="shared" si="5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4" t="str">
        <f t="shared" si="1"/>
        <v/>
      </c>
      <c r="C13" s="34" t="str">
        <f t="shared" si="2"/>
        <v/>
      </c>
      <c r="D13" s="35"/>
      <c r="E13" s="36"/>
      <c r="F13" s="37"/>
      <c r="G13" s="38"/>
      <c r="H13" s="39"/>
      <c r="I13" s="40"/>
      <c r="J13" s="41" t="str">
        <f t="shared" si="3"/>
        <v/>
      </c>
      <c r="K13" s="42" t="str">
        <f t="shared" si="4"/>
        <v/>
      </c>
      <c r="L13" s="42" t="str">
        <f t="shared" si="5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tr">
        <f t="shared" si="1"/>
        <v/>
      </c>
      <c r="C14" s="34" t="str">
        <f t="shared" si="2"/>
        <v/>
      </c>
      <c r="D14" s="35"/>
      <c r="E14" s="36"/>
      <c r="F14" s="37"/>
      <c r="G14" s="38"/>
      <c r="H14" s="39"/>
      <c r="I14" s="40"/>
      <c r="J14" s="41" t="str">
        <f t="shared" si="3"/>
        <v/>
      </c>
      <c r="K14" s="42" t="str">
        <f t="shared" si="4"/>
        <v/>
      </c>
      <c r="L14" s="42" t="str">
        <f t="shared" si="5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4" t="str">
        <f t="shared" si="1"/>
        <v/>
      </c>
      <c r="C15" s="34" t="str">
        <f t="shared" si="2"/>
        <v/>
      </c>
      <c r="D15" s="35"/>
      <c r="E15" s="36"/>
      <c r="F15" s="37"/>
      <c r="G15" s="38"/>
      <c r="H15" s="39"/>
      <c r="I15" s="40"/>
      <c r="J15" s="41" t="str">
        <f t="shared" si="3"/>
        <v/>
      </c>
      <c r="K15" s="42" t="str">
        <f t="shared" si="4"/>
        <v/>
      </c>
      <c r="L15" s="42" t="str">
        <f t="shared" si="5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tr">
        <f t="shared" si="1"/>
        <v/>
      </c>
      <c r="C16" s="34" t="str">
        <f t="shared" si="2"/>
        <v/>
      </c>
      <c r="D16" s="35"/>
      <c r="E16" s="36"/>
      <c r="F16" s="37"/>
      <c r="G16" s="38"/>
      <c r="H16" s="39"/>
      <c r="I16" s="40"/>
      <c r="J16" s="41" t="str">
        <f t="shared" si="3"/>
        <v/>
      </c>
      <c r="K16" s="42" t="str">
        <f t="shared" si="4"/>
        <v/>
      </c>
      <c r="L16" s="42" t="str">
        <f t="shared" si="5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 t="str">
        <f t="shared" si="1"/>
        <v/>
      </c>
      <c r="C17" s="34" t="str">
        <f t="shared" si="2"/>
        <v/>
      </c>
      <c r="D17" s="35"/>
      <c r="E17" s="36"/>
      <c r="F17" s="37"/>
      <c r="G17" s="38"/>
      <c r="H17" s="39"/>
      <c r="I17" s="40"/>
      <c r="J17" s="41" t="str">
        <f t="shared" si="3"/>
        <v/>
      </c>
      <c r="K17" s="42" t="str">
        <f t="shared" si="4"/>
        <v/>
      </c>
      <c r="L17" s="42" t="str">
        <f t="shared" si="5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tr">
        <f t="shared" si="1"/>
        <v/>
      </c>
      <c r="C18" s="34" t="str">
        <f t="shared" si="2"/>
        <v/>
      </c>
      <c r="D18" s="35"/>
      <c r="E18" s="36"/>
      <c r="F18" s="37"/>
      <c r="G18" s="38"/>
      <c r="H18" s="39"/>
      <c r="I18" s="40"/>
      <c r="J18" s="41" t="str">
        <f t="shared" si="3"/>
        <v/>
      </c>
      <c r="K18" s="42" t="str">
        <f t="shared" si="4"/>
        <v/>
      </c>
      <c r="L18" s="42" t="str">
        <f t="shared" si="5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 t="str">
        <f t="shared" si="1"/>
        <v/>
      </c>
      <c r="C19" s="34" t="str">
        <f t="shared" si="2"/>
        <v/>
      </c>
      <c r="D19" s="35"/>
      <c r="E19" s="36"/>
      <c r="F19" s="37"/>
      <c r="G19" s="38"/>
      <c r="H19" s="39"/>
      <c r="I19" s="40"/>
      <c r="J19" s="41" t="str">
        <f t="shared" si="3"/>
        <v/>
      </c>
      <c r="K19" s="42" t="str">
        <f t="shared" si="4"/>
        <v/>
      </c>
      <c r="L19" s="42" t="str">
        <f t="shared" si="5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 t="str">
        <f t="shared" si="1"/>
        <v/>
      </c>
      <c r="C20" s="34" t="str">
        <f t="shared" si="2"/>
        <v/>
      </c>
      <c r="D20" s="35"/>
      <c r="E20" s="36"/>
      <c r="F20" s="37"/>
      <c r="G20" s="38"/>
      <c r="H20" s="39"/>
      <c r="I20" s="40"/>
      <c r="J20" s="41" t="str">
        <f t="shared" si="3"/>
        <v/>
      </c>
      <c r="K20" s="42" t="str">
        <f t="shared" si="4"/>
        <v/>
      </c>
      <c r="L20" s="42" t="str">
        <f t="shared" si="5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4" t="str">
        <f t="shared" si="1"/>
        <v/>
      </c>
      <c r="C21" s="34" t="str">
        <f t="shared" si="2"/>
        <v/>
      </c>
      <c r="D21" s="35"/>
      <c r="E21" s="36"/>
      <c r="F21" s="37"/>
      <c r="G21" s="38"/>
      <c r="H21" s="39"/>
      <c r="I21" s="40"/>
      <c r="J21" s="41" t="str">
        <f t="shared" si="3"/>
        <v/>
      </c>
      <c r="K21" s="42" t="str">
        <f t="shared" si="4"/>
        <v/>
      </c>
      <c r="L21" s="42" t="str">
        <f t="shared" si="5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4" t="str">
        <f t="shared" si="1"/>
        <v/>
      </c>
      <c r="C22" s="34" t="str">
        <f t="shared" si="2"/>
        <v/>
      </c>
      <c r="D22" s="35"/>
      <c r="E22" s="36"/>
      <c r="F22" s="37"/>
      <c r="G22" s="38"/>
      <c r="H22" s="39"/>
      <c r="I22" s="40"/>
      <c r="J22" s="41" t="str">
        <f t="shared" si="3"/>
        <v/>
      </c>
      <c r="K22" s="42" t="str">
        <f t="shared" si="4"/>
        <v/>
      </c>
      <c r="L22" s="42" t="str">
        <f t="shared" si="5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4" t="str">
        <f t="shared" si="1"/>
        <v/>
      </c>
      <c r="C23" s="34" t="str">
        <f t="shared" si="2"/>
        <v/>
      </c>
      <c r="D23" s="35"/>
      <c r="E23" s="36"/>
      <c r="F23" s="37"/>
      <c r="G23" s="38"/>
      <c r="H23" s="39"/>
      <c r="I23" s="40"/>
      <c r="J23" s="41" t="str">
        <f t="shared" si="3"/>
        <v/>
      </c>
      <c r="K23" s="42" t="str">
        <f t="shared" si="4"/>
        <v/>
      </c>
      <c r="L23" s="42" t="str">
        <f t="shared" si="5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4" t="str">
        <f t="shared" si="1"/>
        <v/>
      </c>
      <c r="C24" s="34" t="str">
        <f t="shared" si="2"/>
        <v/>
      </c>
      <c r="D24" s="35"/>
      <c r="E24" s="36"/>
      <c r="F24" s="37"/>
      <c r="G24" s="38"/>
      <c r="H24" s="39"/>
      <c r="I24" s="40"/>
      <c r="J24" s="41" t="str">
        <f t="shared" si="3"/>
        <v/>
      </c>
      <c r="K24" s="42" t="str">
        <f t="shared" si="4"/>
        <v/>
      </c>
      <c r="L24" s="42" t="str">
        <f t="shared" si="5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4" t="str">
        <f t="shared" si="1"/>
        <v/>
      </c>
      <c r="C25" s="34" t="str">
        <f t="shared" si="2"/>
        <v/>
      </c>
      <c r="D25" s="35"/>
      <c r="E25" s="36"/>
      <c r="F25" s="37"/>
      <c r="G25" s="38"/>
      <c r="H25" s="39"/>
      <c r="I25" s="40"/>
      <c r="J25" s="41" t="str">
        <f t="shared" si="3"/>
        <v/>
      </c>
      <c r="K25" s="42" t="str">
        <f t="shared" si="4"/>
        <v/>
      </c>
      <c r="L25" s="42" t="str">
        <f t="shared" si="5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4" t="str">
        <f t="shared" si="1"/>
        <v/>
      </c>
      <c r="C26" s="34" t="str">
        <f t="shared" si="2"/>
        <v/>
      </c>
      <c r="D26" s="35"/>
      <c r="E26" s="36"/>
      <c r="F26" s="37"/>
      <c r="G26" s="38"/>
      <c r="H26" s="39"/>
      <c r="I26" s="40"/>
      <c r="J26" s="41" t="str">
        <f t="shared" si="3"/>
        <v/>
      </c>
      <c r="K26" s="42" t="str">
        <f t="shared" si="4"/>
        <v/>
      </c>
      <c r="L26" s="42" t="str">
        <f t="shared" si="5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4" t="str">
        <f t="shared" si="1"/>
        <v/>
      </c>
      <c r="C27" s="34" t="str">
        <f t="shared" si="2"/>
        <v/>
      </c>
      <c r="D27" s="35"/>
      <c r="E27" s="36"/>
      <c r="F27" s="37"/>
      <c r="G27" s="38"/>
      <c r="H27" s="39"/>
      <c r="I27" s="40"/>
      <c r="J27" s="41" t="str">
        <f t="shared" si="3"/>
        <v/>
      </c>
      <c r="K27" s="42" t="str">
        <f t="shared" si="4"/>
        <v/>
      </c>
      <c r="L27" s="42" t="str">
        <f t="shared" si="5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4" t="str">
        <f t="shared" si="1"/>
        <v/>
      </c>
      <c r="C28" s="34" t="str">
        <f t="shared" si="2"/>
        <v/>
      </c>
      <c r="D28" s="35"/>
      <c r="E28" s="36"/>
      <c r="F28" s="37"/>
      <c r="G28" s="38"/>
      <c r="H28" s="39"/>
      <c r="I28" s="40"/>
      <c r="J28" s="41" t="str">
        <f t="shared" si="3"/>
        <v/>
      </c>
      <c r="K28" s="42" t="str">
        <f t="shared" si="4"/>
        <v/>
      </c>
      <c r="L28" s="42" t="str">
        <f t="shared" si="5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4" t="str">
        <f t="shared" si="1"/>
        <v/>
      </c>
      <c r="C29" s="34" t="str">
        <f t="shared" si="2"/>
        <v/>
      </c>
      <c r="D29" s="35"/>
      <c r="E29" s="36"/>
      <c r="F29" s="37"/>
      <c r="G29" s="38"/>
      <c r="H29" s="39"/>
      <c r="I29" s="40"/>
      <c r="J29" s="41" t="str">
        <f t="shared" si="3"/>
        <v/>
      </c>
      <c r="K29" s="42" t="str">
        <f t="shared" si="4"/>
        <v/>
      </c>
      <c r="L29" s="42" t="str">
        <f t="shared" si="5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4" t="str">
        <f t="shared" si="1"/>
        <v/>
      </c>
      <c r="C30" s="34" t="str">
        <f t="shared" si="2"/>
        <v/>
      </c>
      <c r="D30" s="35"/>
      <c r="E30" s="36"/>
      <c r="F30" s="37"/>
      <c r="G30" s="38"/>
      <c r="H30" s="39"/>
      <c r="I30" s="40"/>
      <c r="J30" s="41" t="str">
        <f t="shared" si="3"/>
        <v/>
      </c>
      <c r="K30" s="42" t="str">
        <f t="shared" si="4"/>
        <v/>
      </c>
      <c r="L30" s="42" t="str">
        <f t="shared" si="5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4" t="str">
        <f t="shared" si="1"/>
        <v/>
      </c>
      <c r="C31" s="34" t="str">
        <f t="shared" si="2"/>
        <v/>
      </c>
      <c r="D31" s="35"/>
      <c r="E31" s="36"/>
      <c r="F31" s="37"/>
      <c r="G31" s="38"/>
      <c r="H31" s="39"/>
      <c r="I31" s="40"/>
      <c r="J31" s="41" t="str">
        <f t="shared" si="3"/>
        <v/>
      </c>
      <c r="K31" s="42" t="str">
        <f t="shared" si="4"/>
        <v/>
      </c>
      <c r="L31" s="42" t="str">
        <f t="shared" si="5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4" t="str">
        <f t="shared" si="1"/>
        <v/>
      </c>
      <c r="C32" s="34" t="str">
        <f t="shared" si="2"/>
        <v/>
      </c>
      <c r="D32" s="35"/>
      <c r="E32" s="36"/>
      <c r="F32" s="37"/>
      <c r="G32" s="38"/>
      <c r="H32" s="39"/>
      <c r="I32" s="40"/>
      <c r="J32" s="41" t="str">
        <f t="shared" si="3"/>
        <v/>
      </c>
      <c r="K32" s="42" t="str">
        <f t="shared" si="4"/>
        <v/>
      </c>
      <c r="L32" s="42" t="str">
        <f t="shared" si="5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tr">
        <f t="shared" si="1"/>
        <v/>
      </c>
      <c r="C33" s="34" t="str">
        <f t="shared" si="2"/>
        <v/>
      </c>
      <c r="D33" s="35"/>
      <c r="E33" s="36"/>
      <c r="F33" s="37"/>
      <c r="G33" s="38"/>
      <c r="H33" s="39"/>
      <c r="I33" s="40"/>
      <c r="J33" s="41" t="str">
        <f t="shared" si="3"/>
        <v/>
      </c>
      <c r="K33" s="42" t="str">
        <f t="shared" si="4"/>
        <v/>
      </c>
      <c r="L33" s="42" t="str">
        <f t="shared" si="5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4" t="str">
        <f t="shared" si="1"/>
        <v/>
      </c>
      <c r="C34" s="34" t="str">
        <f t="shared" si="2"/>
        <v/>
      </c>
      <c r="D34" s="35"/>
      <c r="E34" s="36"/>
      <c r="F34" s="37"/>
      <c r="G34" s="38"/>
      <c r="H34" s="39"/>
      <c r="I34" s="40"/>
      <c r="J34" s="41" t="str">
        <f t="shared" si="3"/>
        <v/>
      </c>
      <c r="K34" s="42" t="str">
        <f t="shared" si="4"/>
        <v/>
      </c>
      <c r="L34" s="42" t="str">
        <f t="shared" si="5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4" t="str">
        <f t="shared" si="1"/>
        <v/>
      </c>
      <c r="C35" s="34" t="str">
        <f t="shared" si="2"/>
        <v/>
      </c>
      <c r="D35" s="35"/>
      <c r="E35" s="36"/>
      <c r="F35" s="37"/>
      <c r="G35" s="38"/>
      <c r="H35" s="39"/>
      <c r="I35" s="40"/>
      <c r="J35" s="41" t="str">
        <f t="shared" si="3"/>
        <v/>
      </c>
      <c r="K35" s="42" t="str">
        <f t="shared" si="4"/>
        <v/>
      </c>
      <c r="L35" s="42" t="str">
        <f t="shared" si="5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4" t="str">
        <f t="shared" si="1"/>
        <v/>
      </c>
      <c r="C36" s="34" t="str">
        <f t="shared" si="2"/>
        <v/>
      </c>
      <c r="D36" s="35"/>
      <c r="E36" s="36"/>
      <c r="F36" s="37"/>
      <c r="G36" s="38"/>
      <c r="H36" s="39"/>
      <c r="I36" s="40"/>
      <c r="J36" s="41" t="str">
        <f t="shared" si="3"/>
        <v/>
      </c>
      <c r="K36" s="42" t="str">
        <f t="shared" si="4"/>
        <v/>
      </c>
      <c r="L36" s="42" t="str">
        <f t="shared" si="5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4" t="str">
        <f t="shared" si="1"/>
        <v/>
      </c>
      <c r="C37" s="34" t="str">
        <f t="shared" si="2"/>
        <v/>
      </c>
      <c r="D37" s="35"/>
      <c r="E37" s="36"/>
      <c r="F37" s="37"/>
      <c r="G37" s="38"/>
      <c r="H37" s="39"/>
      <c r="I37" s="40"/>
      <c r="J37" s="41" t="str">
        <f t="shared" si="3"/>
        <v/>
      </c>
      <c r="K37" s="42" t="str">
        <f t="shared" si="4"/>
        <v/>
      </c>
      <c r="L37" s="42" t="str">
        <f t="shared" si="5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4" t="str">
        <f t="shared" si="1"/>
        <v/>
      </c>
      <c r="C38" s="34" t="str">
        <f t="shared" si="2"/>
        <v/>
      </c>
      <c r="D38" s="35"/>
      <c r="E38" s="36"/>
      <c r="F38" s="37"/>
      <c r="G38" s="38"/>
      <c r="H38" s="39"/>
      <c r="I38" s="40"/>
      <c r="J38" s="41" t="str">
        <f t="shared" si="3"/>
        <v/>
      </c>
      <c r="K38" s="42" t="str">
        <f t="shared" si="4"/>
        <v/>
      </c>
      <c r="L38" s="42" t="str">
        <f t="shared" si="5"/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4" t="str">
        <f t="shared" si="1"/>
        <v/>
      </c>
      <c r="C39" s="34" t="str">
        <f t="shared" si="2"/>
        <v/>
      </c>
      <c r="D39" s="35"/>
      <c r="E39" s="36"/>
      <c r="F39" s="37"/>
      <c r="G39" s="38"/>
      <c r="H39" s="39"/>
      <c r="I39" s="40"/>
      <c r="J39" s="41" t="str">
        <f t="shared" si="3"/>
        <v/>
      </c>
      <c r="K39" s="42" t="str">
        <f t="shared" si="4"/>
        <v/>
      </c>
      <c r="L39" s="42" t="str">
        <f t="shared" si="5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4" t="str">
        <f t="shared" si="1"/>
        <v/>
      </c>
      <c r="C40" s="34" t="str">
        <f t="shared" si="2"/>
        <v/>
      </c>
      <c r="D40" s="35"/>
      <c r="E40" s="36"/>
      <c r="F40" s="37"/>
      <c r="G40" s="38"/>
      <c r="H40" s="39"/>
      <c r="I40" s="40"/>
      <c r="J40" s="41" t="str">
        <f t="shared" si="3"/>
        <v/>
      </c>
      <c r="K40" s="42" t="str">
        <f t="shared" si="4"/>
        <v/>
      </c>
      <c r="L40" s="42" t="str">
        <f t="shared" si="5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4" t="str">
        <f t="shared" si="1"/>
        <v/>
      </c>
      <c r="C41" s="34" t="str">
        <f t="shared" si="2"/>
        <v/>
      </c>
      <c r="D41" s="35"/>
      <c r="E41" s="36"/>
      <c r="F41" s="37"/>
      <c r="G41" s="38"/>
      <c r="H41" s="39"/>
      <c r="I41" s="40"/>
      <c r="J41" s="41" t="str">
        <f t="shared" si="3"/>
        <v/>
      </c>
      <c r="K41" s="42" t="str">
        <f t="shared" si="4"/>
        <v/>
      </c>
      <c r="L41" s="42" t="str">
        <f t="shared" si="5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4" t="str">
        <f t="shared" si="1"/>
        <v/>
      </c>
      <c r="C42" s="34" t="str">
        <f t="shared" si="2"/>
        <v/>
      </c>
      <c r="D42" s="35"/>
      <c r="E42" s="36"/>
      <c r="F42" s="37"/>
      <c r="G42" s="38"/>
      <c r="H42" s="39"/>
      <c r="I42" s="40"/>
      <c r="J42" s="41" t="str">
        <f t="shared" si="3"/>
        <v/>
      </c>
      <c r="K42" s="42" t="str">
        <f t="shared" si="4"/>
        <v/>
      </c>
      <c r="L42" s="42" t="str">
        <f t="shared" si="5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4" t="str">
        <f t="shared" si="1"/>
        <v/>
      </c>
      <c r="C43" s="34" t="str">
        <f t="shared" si="2"/>
        <v/>
      </c>
      <c r="D43" s="35"/>
      <c r="E43" s="36"/>
      <c r="F43" s="37"/>
      <c r="G43" s="38"/>
      <c r="H43" s="39"/>
      <c r="I43" s="40"/>
      <c r="J43" s="41" t="str">
        <f t="shared" si="3"/>
        <v/>
      </c>
      <c r="K43" s="42" t="str">
        <f t="shared" si="4"/>
        <v/>
      </c>
      <c r="L43" s="42" t="str">
        <f t="shared" si="5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4" t="str">
        <f t="shared" si="1"/>
        <v/>
      </c>
      <c r="C44" s="34" t="str">
        <f t="shared" si="2"/>
        <v/>
      </c>
      <c r="D44" s="35"/>
      <c r="E44" s="36"/>
      <c r="F44" s="37"/>
      <c r="G44" s="38"/>
      <c r="H44" s="39"/>
      <c r="I44" s="40"/>
      <c r="J44" s="41" t="str">
        <f t="shared" si="3"/>
        <v/>
      </c>
      <c r="K44" s="42" t="str">
        <f t="shared" si="4"/>
        <v/>
      </c>
      <c r="L44" s="42" t="str">
        <f t="shared" si="5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4" t="str">
        <f t="shared" si="1"/>
        <v/>
      </c>
      <c r="C45" s="34" t="str">
        <f t="shared" si="2"/>
        <v/>
      </c>
      <c r="D45" s="35"/>
      <c r="E45" s="36"/>
      <c r="F45" s="37"/>
      <c r="G45" s="38"/>
      <c r="H45" s="39"/>
      <c r="I45" s="40"/>
      <c r="J45" s="41" t="str">
        <f t="shared" si="3"/>
        <v/>
      </c>
      <c r="K45" s="42" t="str">
        <f t="shared" si="4"/>
        <v/>
      </c>
      <c r="L45" s="42" t="str">
        <f t="shared" si="5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4" t="str">
        <f t="shared" si="1"/>
        <v/>
      </c>
      <c r="C46" s="34" t="str">
        <f t="shared" si="2"/>
        <v/>
      </c>
      <c r="D46" s="35"/>
      <c r="E46" s="36"/>
      <c r="F46" s="37"/>
      <c r="G46" s="38"/>
      <c r="H46" s="39"/>
      <c r="I46" s="40"/>
      <c r="J46" s="41" t="str">
        <f t="shared" si="3"/>
        <v/>
      </c>
      <c r="K46" s="42" t="str">
        <f t="shared" si="4"/>
        <v/>
      </c>
      <c r="L46" s="42" t="str">
        <f t="shared" si="5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4" t="str">
        <f t="shared" si="1"/>
        <v/>
      </c>
      <c r="C47" s="34" t="str">
        <f t="shared" si="2"/>
        <v/>
      </c>
      <c r="D47" s="35"/>
      <c r="E47" s="36"/>
      <c r="F47" s="37"/>
      <c r="G47" s="38"/>
      <c r="H47" s="39"/>
      <c r="I47" s="40"/>
      <c r="J47" s="41" t="str">
        <f t="shared" si="3"/>
        <v/>
      </c>
      <c r="K47" s="42" t="str">
        <f t="shared" si="4"/>
        <v/>
      </c>
      <c r="L47" s="42" t="str">
        <f t="shared" si="5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4" t="str">
        <f t="shared" si="1"/>
        <v/>
      </c>
      <c r="C48" s="34" t="str">
        <f t="shared" si="2"/>
        <v/>
      </c>
      <c r="D48" s="35"/>
      <c r="E48" s="36"/>
      <c r="F48" s="37"/>
      <c r="G48" s="38"/>
      <c r="H48" s="39"/>
      <c r="I48" s="40"/>
      <c r="J48" s="41" t="str">
        <f t="shared" si="3"/>
        <v/>
      </c>
      <c r="K48" s="42" t="str">
        <f t="shared" si="4"/>
        <v/>
      </c>
      <c r="L48" s="42" t="str">
        <f t="shared" si="5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4" t="str">
        <f t="shared" si="1"/>
        <v/>
      </c>
      <c r="C49" s="34" t="str">
        <f t="shared" si="2"/>
        <v/>
      </c>
      <c r="D49" s="35"/>
      <c r="E49" s="36"/>
      <c r="F49" s="37"/>
      <c r="G49" s="38"/>
      <c r="H49" s="39"/>
      <c r="I49" s="40"/>
      <c r="J49" s="41" t="str">
        <f t="shared" si="3"/>
        <v/>
      </c>
      <c r="K49" s="42" t="str">
        <f t="shared" si="4"/>
        <v/>
      </c>
      <c r="L49" s="42" t="str">
        <f t="shared" si="5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4" t="str">
        <f t="shared" si="1"/>
        <v/>
      </c>
      <c r="C50" s="34" t="str">
        <f t="shared" si="2"/>
        <v/>
      </c>
      <c r="D50" s="35"/>
      <c r="E50" s="36"/>
      <c r="F50" s="37"/>
      <c r="G50" s="38"/>
      <c r="H50" s="39"/>
      <c r="I50" s="40"/>
      <c r="J50" s="41" t="str">
        <f t="shared" si="3"/>
        <v/>
      </c>
      <c r="K50" s="42" t="str">
        <f t="shared" si="4"/>
        <v/>
      </c>
      <c r="L50" s="42" t="str">
        <f t="shared" si="5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4" t="str">
        <f t="shared" si="1"/>
        <v/>
      </c>
      <c r="C51" s="34" t="str">
        <f t="shared" si="2"/>
        <v/>
      </c>
      <c r="D51" s="35"/>
      <c r="E51" s="36"/>
      <c r="F51" s="37"/>
      <c r="G51" s="38"/>
      <c r="H51" s="39"/>
      <c r="I51" s="40"/>
      <c r="J51" s="41" t="str">
        <f t="shared" si="3"/>
        <v/>
      </c>
      <c r="K51" s="42" t="str">
        <f t="shared" si="4"/>
        <v/>
      </c>
      <c r="L51" s="42" t="str">
        <f t="shared" si="5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4" t="str">
        <f t="shared" si="1"/>
        <v/>
      </c>
      <c r="C52" s="34" t="str">
        <f t="shared" si="2"/>
        <v/>
      </c>
      <c r="D52" s="35"/>
      <c r="E52" s="36"/>
      <c r="F52" s="37"/>
      <c r="G52" s="38"/>
      <c r="H52" s="39"/>
      <c r="I52" s="40"/>
      <c r="J52" s="41" t="str">
        <f t="shared" si="3"/>
        <v/>
      </c>
      <c r="K52" s="42" t="str">
        <f t="shared" si="4"/>
        <v/>
      </c>
      <c r="L52" s="42" t="str">
        <f t="shared" si="5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4" t="str">
        <f t="shared" si="1"/>
        <v/>
      </c>
      <c r="C53" s="34" t="str">
        <f t="shared" si="2"/>
        <v/>
      </c>
      <c r="D53" s="35"/>
      <c r="E53" s="36"/>
      <c r="F53" s="37"/>
      <c r="G53" s="38"/>
      <c r="H53" s="39"/>
      <c r="I53" s="40"/>
      <c r="J53" s="41" t="str">
        <f t="shared" si="3"/>
        <v/>
      </c>
      <c r="K53" s="42" t="str">
        <f t="shared" si="4"/>
        <v/>
      </c>
      <c r="L53" s="42" t="str">
        <f t="shared" si="5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4" t="str">
        <f t="shared" si="1"/>
        <v/>
      </c>
      <c r="C54" s="34" t="str">
        <f t="shared" si="2"/>
        <v/>
      </c>
      <c r="D54" s="35"/>
      <c r="E54" s="36"/>
      <c r="F54" s="37"/>
      <c r="G54" s="38"/>
      <c r="H54" s="39"/>
      <c r="I54" s="40"/>
      <c r="J54" s="41" t="str">
        <f t="shared" si="3"/>
        <v/>
      </c>
      <c r="K54" s="42" t="str">
        <f t="shared" si="4"/>
        <v/>
      </c>
      <c r="L54" s="42" t="str">
        <f t="shared" si="5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4" t="str">
        <f t="shared" si="1"/>
        <v/>
      </c>
      <c r="C55" s="34" t="str">
        <f t="shared" si="2"/>
        <v/>
      </c>
      <c r="D55" s="35"/>
      <c r="E55" s="36"/>
      <c r="F55" s="37"/>
      <c r="G55" s="38"/>
      <c r="H55" s="39"/>
      <c r="I55" s="40"/>
      <c r="J55" s="41" t="str">
        <f t="shared" si="3"/>
        <v/>
      </c>
      <c r="K55" s="42" t="str">
        <f t="shared" si="4"/>
        <v/>
      </c>
      <c r="L55" s="42" t="str">
        <f t="shared" si="5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tr">
        <f t="shared" si="1"/>
        <v/>
      </c>
      <c r="C56" s="34" t="str">
        <f t="shared" si="2"/>
        <v/>
      </c>
      <c r="D56" s="35"/>
      <c r="E56" s="36"/>
      <c r="F56" s="37"/>
      <c r="G56" s="38"/>
      <c r="H56" s="39"/>
      <c r="I56" s="40"/>
      <c r="J56" s="41" t="str">
        <f t="shared" si="3"/>
        <v/>
      </c>
      <c r="K56" s="42" t="str">
        <f t="shared" si="4"/>
        <v/>
      </c>
      <c r="L56" s="42" t="str">
        <f t="shared" si="5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4" t="str">
        <f t="shared" si="1"/>
        <v/>
      </c>
      <c r="C57" s="34" t="str">
        <f t="shared" si="2"/>
        <v/>
      </c>
      <c r="D57" s="35"/>
      <c r="E57" s="36"/>
      <c r="F57" s="37"/>
      <c r="G57" s="38"/>
      <c r="H57" s="39"/>
      <c r="I57" s="40"/>
      <c r="J57" s="41" t="str">
        <f t="shared" si="3"/>
        <v/>
      </c>
      <c r="K57" s="42" t="str">
        <f t="shared" si="4"/>
        <v/>
      </c>
      <c r="L57" s="42" t="str">
        <f t="shared" si="5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4" t="str">
        <f t="shared" si="1"/>
        <v/>
      </c>
      <c r="C58" s="34" t="str">
        <f t="shared" si="2"/>
        <v/>
      </c>
      <c r="D58" s="35"/>
      <c r="E58" s="36"/>
      <c r="F58" s="37"/>
      <c r="G58" s="38"/>
      <c r="H58" s="39"/>
      <c r="I58" s="40"/>
      <c r="J58" s="41" t="str">
        <f t="shared" si="3"/>
        <v/>
      </c>
      <c r="K58" s="42" t="str">
        <f t="shared" si="4"/>
        <v/>
      </c>
      <c r="L58" s="42" t="str">
        <f t="shared" si="5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4" t="str">
        <f t="shared" si="1"/>
        <v/>
      </c>
      <c r="C59" s="34" t="str">
        <f t="shared" si="2"/>
        <v/>
      </c>
      <c r="D59" s="35"/>
      <c r="E59" s="36"/>
      <c r="F59" s="37"/>
      <c r="G59" s="38"/>
      <c r="H59" s="39"/>
      <c r="I59" s="40"/>
      <c r="J59" s="41" t="str">
        <f t="shared" si="3"/>
        <v/>
      </c>
      <c r="K59" s="42" t="str">
        <f t="shared" si="4"/>
        <v/>
      </c>
      <c r="L59" s="42" t="str">
        <f t="shared" si="5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4" t="str">
        <f t="shared" si="1"/>
        <v/>
      </c>
      <c r="C60" s="34" t="str">
        <f t="shared" si="2"/>
        <v/>
      </c>
      <c r="D60" s="35"/>
      <c r="E60" s="36"/>
      <c r="F60" s="37"/>
      <c r="G60" s="38"/>
      <c r="H60" s="39"/>
      <c r="I60" s="40"/>
      <c r="J60" s="41" t="str">
        <f t="shared" si="3"/>
        <v/>
      </c>
      <c r="K60" s="42" t="str">
        <f t="shared" si="4"/>
        <v/>
      </c>
      <c r="L60" s="42" t="str">
        <f t="shared" si="5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4" t="str">
        <f t="shared" si="1"/>
        <v/>
      </c>
      <c r="C61" s="34" t="str">
        <f t="shared" si="2"/>
        <v/>
      </c>
      <c r="D61" s="35"/>
      <c r="E61" s="36"/>
      <c r="F61" s="37"/>
      <c r="G61" s="38"/>
      <c r="H61" s="39"/>
      <c r="I61" s="40"/>
      <c r="J61" s="41" t="str">
        <f t="shared" si="3"/>
        <v/>
      </c>
      <c r="K61" s="42" t="str">
        <f t="shared" si="4"/>
        <v/>
      </c>
      <c r="L61" s="42" t="str">
        <f t="shared" si="5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4" t="str">
        <f t="shared" si="1"/>
        <v/>
      </c>
      <c r="C62" s="34" t="str">
        <f t="shared" si="2"/>
        <v/>
      </c>
      <c r="D62" s="35"/>
      <c r="E62" s="36"/>
      <c r="F62" s="37"/>
      <c r="G62" s="38"/>
      <c r="H62" s="39"/>
      <c r="I62" s="40"/>
      <c r="J62" s="41" t="str">
        <f t="shared" si="3"/>
        <v/>
      </c>
      <c r="K62" s="42" t="str">
        <f t="shared" si="4"/>
        <v/>
      </c>
      <c r="L62" s="42" t="str">
        <f t="shared" si="5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4" t="str">
        <f t="shared" si="1"/>
        <v/>
      </c>
      <c r="C63" s="34" t="str">
        <f t="shared" si="2"/>
        <v/>
      </c>
      <c r="D63" s="35"/>
      <c r="E63" s="36"/>
      <c r="F63" s="37"/>
      <c r="G63" s="38"/>
      <c r="H63" s="39"/>
      <c r="I63" s="40"/>
      <c r="J63" s="41" t="str">
        <f t="shared" si="3"/>
        <v/>
      </c>
      <c r="K63" s="42" t="str">
        <f t="shared" si="4"/>
        <v/>
      </c>
      <c r="L63" s="42" t="str">
        <f t="shared" si="5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4" t="str">
        <f t="shared" si="1"/>
        <v/>
      </c>
      <c r="C64" s="34" t="str">
        <f t="shared" si="2"/>
        <v/>
      </c>
      <c r="D64" s="35"/>
      <c r="E64" s="36"/>
      <c r="F64" s="37"/>
      <c r="G64" s="38"/>
      <c r="H64" s="39"/>
      <c r="I64" s="40"/>
      <c r="J64" s="41" t="str">
        <f t="shared" si="3"/>
        <v/>
      </c>
      <c r="K64" s="42" t="str">
        <f t="shared" si="4"/>
        <v/>
      </c>
      <c r="L64" s="42" t="str">
        <f t="shared" si="5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4" t="str">
        <f t="shared" si="1"/>
        <v/>
      </c>
      <c r="C65" s="34" t="str">
        <f t="shared" si="2"/>
        <v/>
      </c>
      <c r="D65" s="35"/>
      <c r="E65" s="36"/>
      <c r="F65" s="37"/>
      <c r="G65" s="38"/>
      <c r="H65" s="39"/>
      <c r="I65" s="40"/>
      <c r="J65" s="41" t="str">
        <f t="shared" si="3"/>
        <v/>
      </c>
      <c r="K65" s="42" t="str">
        <f t="shared" si="4"/>
        <v/>
      </c>
      <c r="L65" s="42" t="str">
        <f t="shared" si="5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4" t="str">
        <f t="shared" si="1"/>
        <v/>
      </c>
      <c r="C66" s="34" t="str">
        <f t="shared" si="2"/>
        <v/>
      </c>
      <c r="D66" s="35"/>
      <c r="E66" s="36"/>
      <c r="F66" s="37"/>
      <c r="G66" s="38"/>
      <c r="H66" s="39"/>
      <c r="I66" s="40"/>
      <c r="J66" s="41" t="str">
        <f t="shared" si="3"/>
        <v/>
      </c>
      <c r="K66" s="42" t="str">
        <f t="shared" si="4"/>
        <v/>
      </c>
      <c r="L66" s="42" t="str">
        <f t="shared" si="5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4" t="str">
        <f t="shared" si="1"/>
        <v/>
      </c>
      <c r="C67" s="34" t="str">
        <f t="shared" si="2"/>
        <v/>
      </c>
      <c r="D67" s="35"/>
      <c r="E67" s="36"/>
      <c r="F67" s="37"/>
      <c r="G67" s="38"/>
      <c r="H67" s="39"/>
      <c r="I67" s="40"/>
      <c r="J67" s="41" t="str">
        <f t="shared" si="3"/>
        <v/>
      </c>
      <c r="K67" s="42" t="str">
        <f t="shared" si="4"/>
        <v/>
      </c>
      <c r="L67" s="42" t="str">
        <f t="shared" si="5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4" t="str">
        <f t="shared" si="1"/>
        <v/>
      </c>
      <c r="C68" s="34" t="str">
        <f t="shared" si="2"/>
        <v/>
      </c>
      <c r="D68" s="35"/>
      <c r="E68" s="36"/>
      <c r="F68" s="37"/>
      <c r="G68" s="38"/>
      <c r="H68" s="39"/>
      <c r="I68" s="40"/>
      <c r="J68" s="41" t="str">
        <f t="shared" si="3"/>
        <v/>
      </c>
      <c r="K68" s="42" t="str">
        <f t="shared" si="4"/>
        <v/>
      </c>
      <c r="L68" s="42" t="str">
        <f t="shared" si="5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4" t="str">
        <f t="shared" si="1"/>
        <v/>
      </c>
      <c r="C69" s="34" t="str">
        <f t="shared" si="2"/>
        <v/>
      </c>
      <c r="D69" s="35"/>
      <c r="E69" s="36"/>
      <c r="F69" s="37"/>
      <c r="G69" s="38"/>
      <c r="H69" s="39"/>
      <c r="I69" s="40"/>
      <c r="J69" s="41" t="str">
        <f t="shared" si="3"/>
        <v/>
      </c>
      <c r="K69" s="42" t="str">
        <f t="shared" si="4"/>
        <v/>
      </c>
      <c r="L69" s="42" t="str">
        <f t="shared" si="5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4" t="str">
        <f t="shared" si="1"/>
        <v/>
      </c>
      <c r="C70" s="34" t="str">
        <f t="shared" si="2"/>
        <v/>
      </c>
      <c r="D70" s="35"/>
      <c r="E70" s="36"/>
      <c r="F70" s="37"/>
      <c r="G70" s="38"/>
      <c r="H70" s="39"/>
      <c r="I70" s="40"/>
      <c r="J70" s="41" t="str">
        <f t="shared" si="3"/>
        <v/>
      </c>
      <c r="K70" s="42" t="str">
        <f t="shared" si="4"/>
        <v/>
      </c>
      <c r="L70" s="42" t="str">
        <f t="shared" si="5"/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4" t="str">
        <f t="shared" si="1"/>
        <v/>
      </c>
      <c r="C71" s="34" t="str">
        <f t="shared" si="2"/>
        <v/>
      </c>
      <c r="D71" s="35"/>
      <c r="E71" s="36"/>
      <c r="F71" s="37"/>
      <c r="G71" s="38"/>
      <c r="H71" s="39"/>
      <c r="I71" s="40"/>
      <c r="J71" s="41" t="str">
        <f t="shared" si="3"/>
        <v/>
      </c>
      <c r="K71" s="42" t="str">
        <f t="shared" si="4"/>
        <v/>
      </c>
      <c r="L71" s="42" t="str">
        <f t="shared" si="5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4" t="str">
        <f t="shared" si="1"/>
        <v/>
      </c>
      <c r="C72" s="34" t="str">
        <f t="shared" si="2"/>
        <v/>
      </c>
      <c r="D72" s="35"/>
      <c r="E72" s="36"/>
      <c r="F72" s="37"/>
      <c r="G72" s="38"/>
      <c r="H72" s="39"/>
      <c r="I72" s="40"/>
      <c r="J72" s="41" t="str">
        <f t="shared" si="3"/>
        <v/>
      </c>
      <c r="K72" s="42" t="str">
        <f t="shared" si="4"/>
        <v/>
      </c>
      <c r="L72" s="42" t="str">
        <f t="shared" si="5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4" t="str">
        <f t="shared" si="1"/>
        <v/>
      </c>
      <c r="C73" s="34" t="str">
        <f t="shared" si="2"/>
        <v/>
      </c>
      <c r="D73" s="35"/>
      <c r="E73" s="36"/>
      <c r="F73" s="37"/>
      <c r="G73" s="38"/>
      <c r="H73" s="39"/>
      <c r="I73" s="40"/>
      <c r="J73" s="41" t="str">
        <f t="shared" si="3"/>
        <v/>
      </c>
      <c r="K73" s="42" t="str">
        <f t="shared" si="4"/>
        <v/>
      </c>
      <c r="L73" s="42" t="str">
        <f t="shared" si="5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4" t="str">
        <f t="shared" si="1"/>
        <v/>
      </c>
      <c r="C74" s="34" t="str">
        <f t="shared" si="2"/>
        <v/>
      </c>
      <c r="D74" s="35"/>
      <c r="E74" s="36"/>
      <c r="F74" s="37"/>
      <c r="G74" s="38"/>
      <c r="H74" s="39"/>
      <c r="I74" s="40"/>
      <c r="J74" s="41" t="str">
        <f t="shared" si="3"/>
        <v/>
      </c>
      <c r="K74" s="42" t="str">
        <f t="shared" si="4"/>
        <v/>
      </c>
      <c r="L74" s="42" t="str">
        <f t="shared" si="5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4" t="str">
        <f t="shared" si="1"/>
        <v/>
      </c>
      <c r="C75" s="34" t="str">
        <f t="shared" si="2"/>
        <v/>
      </c>
      <c r="D75" s="35"/>
      <c r="E75" s="36"/>
      <c r="F75" s="37"/>
      <c r="G75" s="38"/>
      <c r="H75" s="39"/>
      <c r="I75" s="40"/>
      <c r="J75" s="41" t="str">
        <f t="shared" si="3"/>
        <v/>
      </c>
      <c r="K75" s="42" t="str">
        <f t="shared" si="4"/>
        <v/>
      </c>
      <c r="L75" s="42" t="str">
        <f t="shared" si="5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8"/>
      <c r="C76" s="18"/>
      <c r="D76" s="18"/>
      <c r="E76" s="19"/>
      <c r="F76" s="20" t="s">
        <v>15</v>
      </c>
      <c r="G76" s="21"/>
      <c r="H76" s="18"/>
      <c r="I76" s="43"/>
      <c r="J76" s="44" t="str">
        <f t="shared" ref="J76:L76" si="6">+J75</f>
        <v/>
      </c>
      <c r="K76" s="45" t="str">
        <f t="shared" si="6"/>
        <v/>
      </c>
      <c r="L76" s="45" t="str">
        <f t="shared" si="6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1"/>
      <c r="D77" s="46"/>
      <c r="E77" s="1"/>
      <c r="F77" s="1"/>
      <c r="G77" s="5"/>
      <c r="H77" s="1"/>
      <c r="I77" s="40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1"/>
      <c r="D78" s="46"/>
      <c r="E78" s="1"/>
      <c r="F78" s="1"/>
      <c r="G78" s="5"/>
      <c r="H78" s="1"/>
      <c r="I78" s="40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1"/>
      <c r="D79" s="46"/>
      <c r="E79" s="1"/>
      <c r="F79" s="1"/>
      <c r="G79" s="5"/>
      <c r="H79" s="1"/>
      <c r="I79" s="40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1"/>
      <c r="D80" s="46"/>
      <c r="E80" s="1"/>
      <c r="F80" s="1"/>
      <c r="G80" s="5"/>
      <c r="H80" s="1"/>
      <c r="I80" s="40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1"/>
      <c r="D81" s="46"/>
      <c r="E81" s="1"/>
      <c r="F81" s="1"/>
      <c r="G81" s="5"/>
      <c r="H81" s="1"/>
      <c r="I81" s="40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1"/>
      <c r="D82" s="46"/>
      <c r="E82" s="1"/>
      <c r="F82" s="1"/>
      <c r="G82" s="5"/>
      <c r="H82" s="1"/>
      <c r="I82" s="40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1"/>
      <c r="D83" s="46"/>
      <c r="E83" s="1"/>
      <c r="F83" s="1"/>
      <c r="G83" s="5"/>
      <c r="H83" s="1"/>
      <c r="I83" s="40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"/>
      <c r="C84" s="1"/>
      <c r="D84" s="46"/>
      <c r="E84" s="1"/>
      <c r="F84" s="1"/>
      <c r="G84" s="5"/>
      <c r="H84" s="1"/>
      <c r="I84" s="40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/>
      <c r="C85" s="1"/>
      <c r="D85" s="46"/>
      <c r="E85" s="1"/>
      <c r="F85" s="1"/>
      <c r="G85" s="5"/>
      <c r="H85" s="1"/>
      <c r="I85" s="40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"/>
      <c r="C86" s="1"/>
      <c r="D86" s="46"/>
      <c r="E86" s="1"/>
      <c r="F86" s="1"/>
      <c r="G86" s="5"/>
      <c r="H86" s="1"/>
      <c r="I86" s="40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"/>
      <c r="C87" s="1"/>
      <c r="D87" s="46"/>
      <c r="E87" s="1"/>
      <c r="F87" s="1"/>
      <c r="G87" s="5"/>
      <c r="H87" s="1"/>
      <c r="I87" s="40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"/>
      <c r="C88" s="1"/>
      <c r="D88" s="46"/>
      <c r="E88" s="1"/>
      <c r="F88" s="1"/>
      <c r="G88" s="5"/>
      <c r="H88" s="1"/>
      <c r="I88" s="40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"/>
      <c r="C89" s="1"/>
      <c r="D89" s="46"/>
      <c r="E89" s="1"/>
      <c r="F89" s="1"/>
      <c r="G89" s="5"/>
      <c r="H89" s="1"/>
      <c r="I89" s="40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"/>
      <c r="C90" s="1"/>
      <c r="D90" s="46"/>
      <c r="E90" s="1"/>
      <c r="F90" s="1"/>
      <c r="G90" s="5"/>
      <c r="H90" s="1"/>
      <c r="I90" s="40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"/>
      <c r="C91" s="1"/>
      <c r="D91" s="46"/>
      <c r="E91" s="1"/>
      <c r="F91" s="1"/>
      <c r="G91" s="5"/>
      <c r="H91" s="1"/>
      <c r="I91" s="40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"/>
      <c r="C92" s="1"/>
      <c r="D92" s="46"/>
      <c r="E92" s="1"/>
      <c r="F92" s="1"/>
      <c r="G92" s="5"/>
      <c r="H92" s="1"/>
      <c r="I92" s="40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"/>
      <c r="C93" s="1"/>
      <c r="D93" s="46"/>
      <c r="E93" s="1"/>
      <c r="F93" s="1"/>
      <c r="G93" s="5"/>
      <c r="H93" s="1"/>
      <c r="I93" s="40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"/>
      <c r="C94" s="1"/>
      <c r="D94" s="46"/>
      <c r="E94" s="1"/>
      <c r="F94" s="1"/>
      <c r="G94" s="5"/>
      <c r="H94" s="1"/>
      <c r="I94" s="40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"/>
      <c r="C95" s="1"/>
      <c r="D95" s="46"/>
      <c r="E95" s="1"/>
      <c r="F95" s="1"/>
      <c r="G95" s="5"/>
      <c r="H95" s="1"/>
      <c r="I95" s="40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"/>
      <c r="C96" s="1"/>
      <c r="D96" s="46"/>
      <c r="E96" s="1"/>
      <c r="F96" s="1"/>
      <c r="G96" s="5"/>
      <c r="H96" s="1"/>
      <c r="I96" s="40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"/>
      <c r="C97" s="1"/>
      <c r="D97" s="46"/>
      <c r="E97" s="1"/>
      <c r="F97" s="1"/>
      <c r="G97" s="5"/>
      <c r="H97" s="1"/>
      <c r="I97" s="40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"/>
      <c r="C98" s="1"/>
      <c r="D98" s="46"/>
      <c r="E98" s="1"/>
      <c r="F98" s="1"/>
      <c r="G98" s="5"/>
      <c r="H98" s="1"/>
      <c r="I98" s="40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"/>
      <c r="C99" s="1"/>
      <c r="D99" s="46"/>
      <c r="E99" s="1"/>
      <c r="F99" s="1"/>
      <c r="G99" s="5"/>
      <c r="H99" s="1"/>
      <c r="I99" s="40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"/>
      <c r="C100" s="1"/>
      <c r="D100" s="46"/>
      <c r="E100" s="1"/>
      <c r="F100" s="1"/>
      <c r="G100" s="5"/>
      <c r="H100" s="1"/>
      <c r="I100" s="40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"/>
      <c r="C101" s="1"/>
      <c r="D101" s="46"/>
      <c r="E101" s="1"/>
      <c r="F101" s="1"/>
      <c r="G101" s="5"/>
      <c r="H101" s="1"/>
      <c r="I101" s="40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"/>
      <c r="C102" s="1"/>
      <c r="D102" s="46"/>
      <c r="E102" s="1"/>
      <c r="F102" s="1"/>
      <c r="G102" s="5"/>
      <c r="H102" s="1"/>
      <c r="I102" s="40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"/>
      <c r="C103" s="1"/>
      <c r="D103" s="46"/>
      <c r="E103" s="1"/>
      <c r="F103" s="1"/>
      <c r="G103" s="5"/>
      <c r="H103" s="1"/>
      <c r="I103" s="40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"/>
      <c r="C104" s="1"/>
      <c r="D104" s="46"/>
      <c r="E104" s="1"/>
      <c r="F104" s="1"/>
      <c r="G104" s="5"/>
      <c r="H104" s="1"/>
      <c r="I104" s="40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"/>
      <c r="C105" s="1"/>
      <c r="D105" s="46"/>
      <c r="E105" s="1"/>
      <c r="F105" s="1"/>
      <c r="G105" s="5"/>
      <c r="H105" s="1"/>
      <c r="I105" s="40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"/>
      <c r="C106" s="1"/>
      <c r="D106" s="46"/>
      <c r="E106" s="1"/>
      <c r="F106" s="1"/>
      <c r="G106" s="5"/>
      <c r="H106" s="1"/>
      <c r="I106" s="40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"/>
      <c r="C107" s="1"/>
      <c r="D107" s="46"/>
      <c r="E107" s="1"/>
      <c r="F107" s="1"/>
      <c r="G107" s="5"/>
      <c r="H107" s="1"/>
      <c r="I107" s="40"/>
      <c r="J107" s="8"/>
      <c r="K107" s="8"/>
      <c r="L107" s="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"/>
      <c r="C108" s="1"/>
      <c r="D108" s="46"/>
      <c r="E108" s="1"/>
      <c r="F108" s="1"/>
      <c r="G108" s="5"/>
      <c r="H108" s="1"/>
      <c r="I108" s="40"/>
      <c r="J108" s="8"/>
      <c r="K108" s="8"/>
      <c r="L108" s="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"/>
      <c r="C109" s="1"/>
      <c r="D109" s="46"/>
      <c r="E109" s="1"/>
      <c r="F109" s="1"/>
      <c r="G109" s="5"/>
      <c r="H109" s="1"/>
      <c r="I109" s="40"/>
      <c r="J109" s="8"/>
      <c r="K109" s="8"/>
      <c r="L109" s="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"/>
      <c r="C110" s="1"/>
      <c r="D110" s="46"/>
      <c r="E110" s="1"/>
      <c r="F110" s="1"/>
      <c r="G110" s="5"/>
      <c r="H110" s="1"/>
      <c r="I110" s="40"/>
      <c r="J110" s="8"/>
      <c r="K110" s="8"/>
      <c r="L110" s="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"/>
      <c r="C111" s="1"/>
      <c r="D111" s="46"/>
      <c r="E111" s="1"/>
      <c r="F111" s="1"/>
      <c r="G111" s="5"/>
      <c r="H111" s="1"/>
      <c r="I111" s="40"/>
      <c r="J111" s="8"/>
      <c r="K111" s="8"/>
      <c r="L111" s="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"/>
      <c r="C112" s="1"/>
      <c r="D112" s="46"/>
      <c r="E112" s="1"/>
      <c r="F112" s="1"/>
      <c r="G112" s="5"/>
      <c r="H112" s="1"/>
      <c r="I112" s="40"/>
      <c r="J112" s="8"/>
      <c r="K112" s="8"/>
      <c r="L112" s="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"/>
      <c r="C113" s="1"/>
      <c r="D113" s="46"/>
      <c r="E113" s="1"/>
      <c r="F113" s="1"/>
      <c r="G113" s="5"/>
      <c r="H113" s="1"/>
      <c r="I113" s="40"/>
      <c r="J113" s="8"/>
      <c r="K113" s="8"/>
      <c r="L113" s="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"/>
      <c r="C114" s="1"/>
      <c r="D114" s="46"/>
      <c r="E114" s="1"/>
      <c r="F114" s="1"/>
      <c r="G114" s="5"/>
      <c r="H114" s="1"/>
      <c r="I114" s="40"/>
      <c r="J114" s="8"/>
      <c r="K114" s="8"/>
      <c r="L114" s="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"/>
      <c r="C115" s="1"/>
      <c r="D115" s="46"/>
      <c r="E115" s="1"/>
      <c r="F115" s="1"/>
      <c r="G115" s="5"/>
      <c r="H115" s="1"/>
      <c r="I115" s="40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"/>
      <c r="C116" s="1"/>
      <c r="D116" s="46"/>
      <c r="E116" s="1"/>
      <c r="F116" s="1"/>
      <c r="G116" s="5"/>
      <c r="H116" s="1"/>
      <c r="I116" s="40"/>
      <c r="J116" s="8"/>
      <c r="K116" s="8"/>
      <c r="L116" s="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"/>
      <c r="C117" s="1"/>
      <c r="D117" s="46"/>
      <c r="E117" s="1"/>
      <c r="F117" s="1"/>
      <c r="G117" s="5"/>
      <c r="H117" s="1"/>
      <c r="I117" s="40"/>
      <c r="J117" s="8"/>
      <c r="K117" s="8"/>
      <c r="L117" s="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"/>
      <c r="C118" s="1"/>
      <c r="D118" s="46"/>
      <c r="E118" s="1"/>
      <c r="F118" s="1"/>
      <c r="G118" s="5"/>
      <c r="H118" s="1"/>
      <c r="I118" s="40"/>
      <c r="J118" s="8"/>
      <c r="K118" s="8"/>
      <c r="L118" s="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"/>
      <c r="C119" s="1"/>
      <c r="D119" s="46"/>
      <c r="E119" s="1"/>
      <c r="F119" s="1"/>
      <c r="G119" s="5"/>
      <c r="H119" s="1"/>
      <c r="I119" s="40"/>
      <c r="J119" s="8"/>
      <c r="K119" s="8"/>
      <c r="L119" s="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"/>
      <c r="C120" s="1"/>
      <c r="D120" s="46"/>
      <c r="E120" s="1"/>
      <c r="F120" s="1"/>
      <c r="G120" s="5"/>
      <c r="H120" s="1"/>
      <c r="I120" s="40"/>
      <c r="J120" s="8"/>
      <c r="K120" s="8"/>
      <c r="L120" s="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"/>
      <c r="C121" s="1"/>
      <c r="D121" s="46"/>
      <c r="E121" s="1"/>
      <c r="F121" s="1"/>
      <c r="G121" s="5"/>
      <c r="H121" s="1"/>
      <c r="I121" s="40"/>
      <c r="J121" s="8"/>
      <c r="K121" s="8"/>
      <c r="L121" s="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"/>
      <c r="C122" s="1"/>
      <c r="D122" s="46"/>
      <c r="E122" s="1"/>
      <c r="F122" s="1"/>
      <c r="G122" s="5"/>
      <c r="H122" s="1"/>
      <c r="I122" s="40"/>
      <c r="J122" s="8"/>
      <c r="K122" s="8"/>
      <c r="L122" s="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"/>
      <c r="C123" s="1"/>
      <c r="D123" s="46"/>
      <c r="E123" s="1"/>
      <c r="F123" s="1"/>
      <c r="G123" s="5"/>
      <c r="H123" s="1"/>
      <c r="I123" s="40"/>
      <c r="J123" s="8"/>
      <c r="K123" s="8"/>
      <c r="L123" s="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"/>
      <c r="C124" s="1"/>
      <c r="D124" s="46"/>
      <c r="E124" s="1"/>
      <c r="F124" s="1"/>
      <c r="G124" s="5"/>
      <c r="H124" s="1"/>
      <c r="I124" s="40"/>
      <c r="J124" s="8"/>
      <c r="K124" s="8"/>
      <c r="L124" s="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"/>
      <c r="C125" s="1"/>
      <c r="D125" s="46"/>
      <c r="E125" s="1"/>
      <c r="F125" s="1"/>
      <c r="G125" s="5"/>
      <c r="H125" s="1"/>
      <c r="I125" s="40"/>
      <c r="J125" s="8"/>
      <c r="K125" s="8"/>
      <c r="L125" s="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"/>
      <c r="C126" s="1"/>
      <c r="D126" s="46"/>
      <c r="E126" s="1"/>
      <c r="F126" s="1"/>
      <c r="G126" s="5"/>
      <c r="H126" s="1"/>
      <c r="I126" s="40"/>
      <c r="J126" s="8"/>
      <c r="K126" s="8"/>
      <c r="L126" s="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"/>
      <c r="C127" s="1"/>
      <c r="D127" s="46"/>
      <c r="E127" s="1"/>
      <c r="F127" s="1"/>
      <c r="G127" s="5"/>
      <c r="H127" s="1"/>
      <c r="I127" s="40"/>
      <c r="J127" s="8"/>
      <c r="K127" s="8"/>
      <c r="L127" s="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"/>
      <c r="C128" s="1"/>
      <c r="D128" s="46"/>
      <c r="E128" s="1"/>
      <c r="F128" s="1"/>
      <c r="G128" s="5"/>
      <c r="H128" s="1"/>
      <c r="I128" s="40"/>
      <c r="J128" s="8"/>
      <c r="K128" s="8"/>
      <c r="L128" s="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"/>
      <c r="C129" s="1"/>
      <c r="D129" s="46"/>
      <c r="E129" s="1"/>
      <c r="F129" s="1"/>
      <c r="G129" s="5"/>
      <c r="H129" s="1"/>
      <c r="I129" s="40"/>
      <c r="J129" s="8"/>
      <c r="K129" s="8"/>
      <c r="L129" s="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5"/>
      <c r="C130" s="1"/>
      <c r="D130" s="46"/>
      <c r="E130" s="1"/>
      <c r="F130" s="1"/>
      <c r="G130" s="5"/>
      <c r="H130" s="1"/>
      <c r="I130" s="40"/>
      <c r="J130" s="8"/>
      <c r="K130" s="8"/>
      <c r="L130" s="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5"/>
      <c r="C131" s="1"/>
      <c r="D131" s="46"/>
      <c r="E131" s="1"/>
      <c r="F131" s="1"/>
      <c r="G131" s="5"/>
      <c r="H131" s="1"/>
      <c r="I131" s="40"/>
      <c r="J131" s="8"/>
      <c r="K131" s="8"/>
      <c r="L131" s="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5"/>
      <c r="C132" s="1"/>
      <c r="D132" s="46"/>
      <c r="E132" s="1"/>
      <c r="F132" s="1"/>
      <c r="G132" s="5"/>
      <c r="H132" s="1"/>
      <c r="I132" s="40"/>
      <c r="J132" s="8"/>
      <c r="K132" s="8"/>
      <c r="L132" s="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"/>
      <c r="C133" s="1"/>
      <c r="D133" s="46"/>
      <c r="E133" s="1"/>
      <c r="F133" s="1"/>
      <c r="G133" s="5"/>
      <c r="H133" s="1"/>
      <c r="I133" s="40"/>
      <c r="J133" s="8"/>
      <c r="K133" s="8"/>
      <c r="L133" s="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5"/>
      <c r="C134" s="1"/>
      <c r="D134" s="46"/>
      <c r="E134" s="1"/>
      <c r="F134" s="1"/>
      <c r="G134" s="5"/>
      <c r="H134" s="1"/>
      <c r="I134" s="40"/>
      <c r="J134" s="8"/>
      <c r="K134" s="8"/>
      <c r="L134" s="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5"/>
      <c r="C135" s="1"/>
      <c r="D135" s="46"/>
      <c r="E135" s="1"/>
      <c r="F135" s="1"/>
      <c r="G135" s="5"/>
      <c r="H135" s="1"/>
      <c r="I135" s="40"/>
      <c r="J135" s="8"/>
      <c r="K135" s="8"/>
      <c r="L135" s="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5"/>
      <c r="C136" s="1"/>
      <c r="D136" s="46"/>
      <c r="E136" s="1"/>
      <c r="F136" s="1"/>
      <c r="G136" s="5"/>
      <c r="H136" s="1"/>
      <c r="I136" s="40"/>
      <c r="J136" s="8"/>
      <c r="K136" s="8"/>
      <c r="L136" s="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5"/>
      <c r="C137" s="1"/>
      <c r="D137" s="46"/>
      <c r="E137" s="1"/>
      <c r="F137" s="1"/>
      <c r="G137" s="5"/>
      <c r="H137" s="1"/>
      <c r="I137" s="40"/>
      <c r="J137" s="8"/>
      <c r="K137" s="8"/>
      <c r="L137" s="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"/>
      <c r="C138" s="1"/>
      <c r="D138" s="46"/>
      <c r="E138" s="1"/>
      <c r="F138" s="1"/>
      <c r="G138" s="5"/>
      <c r="H138" s="1"/>
      <c r="I138" s="40"/>
      <c r="J138" s="8"/>
      <c r="K138" s="8"/>
      <c r="L138" s="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"/>
      <c r="C139" s="1"/>
      <c r="D139" s="46"/>
      <c r="E139" s="1"/>
      <c r="F139" s="1"/>
      <c r="G139" s="5"/>
      <c r="H139" s="1"/>
      <c r="I139" s="40"/>
      <c r="J139" s="8"/>
      <c r="K139" s="8"/>
      <c r="L139" s="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"/>
      <c r="C140" s="1"/>
      <c r="D140" s="46"/>
      <c r="E140" s="1"/>
      <c r="F140" s="1"/>
      <c r="G140" s="5"/>
      <c r="H140" s="1"/>
      <c r="I140" s="40"/>
      <c r="J140" s="8"/>
      <c r="K140" s="8"/>
      <c r="L140" s="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5"/>
      <c r="C141" s="1"/>
      <c r="D141" s="46"/>
      <c r="E141" s="1"/>
      <c r="F141" s="1"/>
      <c r="G141" s="5"/>
      <c r="H141" s="1"/>
      <c r="I141" s="40"/>
      <c r="J141" s="8"/>
      <c r="K141" s="8"/>
      <c r="L141" s="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5"/>
      <c r="C142" s="1"/>
      <c r="D142" s="46"/>
      <c r="E142" s="1"/>
      <c r="F142" s="1"/>
      <c r="G142" s="5"/>
      <c r="H142" s="1"/>
      <c r="I142" s="40"/>
      <c r="J142" s="8"/>
      <c r="K142" s="8"/>
      <c r="L142" s="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5"/>
      <c r="C143" s="1"/>
      <c r="D143" s="46"/>
      <c r="E143" s="1"/>
      <c r="F143" s="1"/>
      <c r="G143" s="5"/>
      <c r="H143" s="1"/>
      <c r="I143" s="40"/>
      <c r="J143" s="8"/>
      <c r="K143" s="8"/>
      <c r="L143" s="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"/>
      <c r="C144" s="1"/>
      <c r="D144" s="46"/>
      <c r="E144" s="1"/>
      <c r="F144" s="1"/>
      <c r="G144" s="5"/>
      <c r="H144" s="1"/>
      <c r="I144" s="40"/>
      <c r="J144" s="8"/>
      <c r="K144" s="8"/>
      <c r="L144" s="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5"/>
      <c r="C145" s="1"/>
      <c r="D145" s="46"/>
      <c r="E145" s="1"/>
      <c r="F145" s="1"/>
      <c r="G145" s="5"/>
      <c r="H145" s="1"/>
      <c r="I145" s="40"/>
      <c r="J145" s="8"/>
      <c r="K145" s="8"/>
      <c r="L145" s="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"/>
      <c r="C146" s="1"/>
      <c r="D146" s="46"/>
      <c r="E146" s="1"/>
      <c r="F146" s="1"/>
      <c r="G146" s="5"/>
      <c r="H146" s="1"/>
      <c r="I146" s="40"/>
      <c r="J146" s="8"/>
      <c r="K146" s="8"/>
      <c r="L146" s="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5"/>
      <c r="C147" s="1"/>
      <c r="D147" s="46"/>
      <c r="E147" s="1"/>
      <c r="F147" s="1"/>
      <c r="G147" s="5"/>
      <c r="H147" s="1"/>
      <c r="I147" s="40"/>
      <c r="J147" s="8"/>
      <c r="K147" s="8"/>
      <c r="L147" s="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5"/>
      <c r="C148" s="1"/>
      <c r="D148" s="46"/>
      <c r="E148" s="1"/>
      <c r="F148" s="1"/>
      <c r="G148" s="5"/>
      <c r="H148" s="1"/>
      <c r="I148" s="40"/>
      <c r="J148" s="8"/>
      <c r="K148" s="8"/>
      <c r="L148" s="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"/>
      <c r="C149" s="1"/>
      <c r="D149" s="46"/>
      <c r="E149" s="1"/>
      <c r="F149" s="1"/>
      <c r="G149" s="5"/>
      <c r="H149" s="1"/>
      <c r="I149" s="40"/>
      <c r="J149" s="8"/>
      <c r="K149" s="8"/>
      <c r="L149" s="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"/>
      <c r="C150" s="1"/>
      <c r="D150" s="46"/>
      <c r="E150" s="1"/>
      <c r="F150" s="1"/>
      <c r="G150" s="5"/>
      <c r="H150" s="1"/>
      <c r="I150" s="40"/>
      <c r="J150" s="8"/>
      <c r="K150" s="8"/>
      <c r="L150" s="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5"/>
      <c r="C151" s="1"/>
      <c r="D151" s="46"/>
      <c r="E151" s="1"/>
      <c r="F151" s="1"/>
      <c r="G151" s="5"/>
      <c r="H151" s="1"/>
      <c r="I151" s="40"/>
      <c r="J151" s="8"/>
      <c r="K151" s="8"/>
      <c r="L151" s="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"/>
      <c r="C152" s="1"/>
      <c r="D152" s="46"/>
      <c r="E152" s="1"/>
      <c r="F152" s="1"/>
      <c r="G152" s="5"/>
      <c r="H152" s="1"/>
      <c r="I152" s="40"/>
      <c r="J152" s="8"/>
      <c r="K152" s="8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/>
      <c r="C153" s="1"/>
      <c r="D153" s="46"/>
      <c r="E153" s="1"/>
      <c r="F153" s="1"/>
      <c r="G153" s="5"/>
      <c r="H153" s="1"/>
      <c r="I153" s="40"/>
      <c r="J153" s="8"/>
      <c r="K153" s="8"/>
      <c r="L153" s="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/>
      <c r="C154" s="1"/>
      <c r="D154" s="46"/>
      <c r="E154" s="1"/>
      <c r="F154" s="1"/>
      <c r="G154" s="5"/>
      <c r="H154" s="1"/>
      <c r="I154" s="40"/>
      <c r="J154" s="8"/>
      <c r="K154" s="8"/>
      <c r="L154" s="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/>
      <c r="C155" s="1"/>
      <c r="D155" s="46"/>
      <c r="E155" s="1"/>
      <c r="F155" s="1"/>
      <c r="G155" s="5"/>
      <c r="H155" s="1"/>
      <c r="I155" s="40"/>
      <c r="J155" s="8"/>
      <c r="K155" s="8"/>
      <c r="L155" s="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/>
      <c r="C156" s="1"/>
      <c r="D156" s="46"/>
      <c r="E156" s="1"/>
      <c r="F156" s="1"/>
      <c r="G156" s="5"/>
      <c r="H156" s="1"/>
      <c r="I156" s="40"/>
      <c r="J156" s="8"/>
      <c r="K156" s="8"/>
      <c r="L156" s="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/>
      <c r="C157" s="1"/>
      <c r="D157" s="46"/>
      <c r="E157" s="1"/>
      <c r="F157" s="1"/>
      <c r="G157" s="5"/>
      <c r="H157" s="1"/>
      <c r="I157" s="40"/>
      <c r="J157" s="8"/>
      <c r="K157" s="8"/>
      <c r="L157" s="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/>
      <c r="C158" s="1"/>
      <c r="D158" s="46"/>
      <c r="E158" s="1"/>
      <c r="F158" s="1"/>
      <c r="G158" s="5"/>
      <c r="H158" s="1"/>
      <c r="I158" s="40"/>
      <c r="J158" s="8"/>
      <c r="K158" s="8"/>
      <c r="L158" s="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/>
      <c r="C159" s="1"/>
      <c r="D159" s="46"/>
      <c r="E159" s="1"/>
      <c r="F159" s="1"/>
      <c r="G159" s="5"/>
      <c r="H159" s="1"/>
      <c r="I159" s="40"/>
      <c r="J159" s="8"/>
      <c r="K159" s="8"/>
      <c r="L159" s="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/>
      <c r="C160" s="1"/>
      <c r="D160" s="46"/>
      <c r="E160" s="1"/>
      <c r="F160" s="1"/>
      <c r="G160" s="5"/>
      <c r="H160" s="1"/>
      <c r="I160" s="40"/>
      <c r="J160" s="8"/>
      <c r="K160" s="8"/>
      <c r="L160" s="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/>
      <c r="C161" s="1"/>
      <c r="D161" s="46"/>
      <c r="E161" s="1"/>
      <c r="F161" s="1"/>
      <c r="G161" s="5"/>
      <c r="H161" s="1"/>
      <c r="I161" s="40"/>
      <c r="J161" s="8"/>
      <c r="K161" s="8"/>
      <c r="L161" s="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/>
      <c r="C162" s="1"/>
      <c r="D162" s="46"/>
      <c r="E162" s="1"/>
      <c r="F162" s="1"/>
      <c r="G162" s="5"/>
      <c r="H162" s="1"/>
      <c r="I162" s="40"/>
      <c r="J162" s="8"/>
      <c r="K162" s="8"/>
      <c r="L162" s="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/>
      <c r="C163" s="1"/>
      <c r="D163" s="46"/>
      <c r="E163" s="1"/>
      <c r="F163" s="1"/>
      <c r="G163" s="5"/>
      <c r="H163" s="1"/>
      <c r="I163" s="40"/>
      <c r="J163" s="8"/>
      <c r="K163" s="8"/>
      <c r="L163" s="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/>
      <c r="C164" s="1"/>
      <c r="D164" s="46"/>
      <c r="E164" s="1"/>
      <c r="F164" s="1"/>
      <c r="G164" s="5"/>
      <c r="H164" s="1"/>
      <c r="I164" s="40"/>
      <c r="J164" s="8"/>
      <c r="K164" s="8"/>
      <c r="L164" s="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/>
      <c r="C165" s="1"/>
      <c r="D165" s="46"/>
      <c r="E165" s="1"/>
      <c r="F165" s="1"/>
      <c r="G165" s="5"/>
      <c r="H165" s="1"/>
      <c r="I165" s="40"/>
      <c r="J165" s="8"/>
      <c r="K165" s="8"/>
      <c r="L165" s="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/>
      <c r="C166" s="1"/>
      <c r="D166" s="46"/>
      <c r="E166" s="1"/>
      <c r="F166" s="1"/>
      <c r="G166" s="5"/>
      <c r="H166" s="1"/>
      <c r="I166" s="40"/>
      <c r="J166" s="8"/>
      <c r="K166" s="8"/>
      <c r="L166" s="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/>
      <c r="C167" s="1"/>
      <c r="D167" s="46"/>
      <c r="E167" s="1"/>
      <c r="F167" s="1"/>
      <c r="G167" s="5"/>
      <c r="H167" s="1"/>
      <c r="I167" s="40"/>
      <c r="J167" s="8"/>
      <c r="K167" s="8"/>
      <c r="L167" s="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/>
      <c r="C168" s="1"/>
      <c r="D168" s="46"/>
      <c r="E168" s="1"/>
      <c r="F168" s="1"/>
      <c r="G168" s="5"/>
      <c r="H168" s="1"/>
      <c r="I168" s="40"/>
      <c r="J168" s="8"/>
      <c r="K168" s="8"/>
      <c r="L168" s="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/>
      <c r="C169" s="1"/>
      <c r="D169" s="46"/>
      <c r="E169" s="1"/>
      <c r="F169" s="1"/>
      <c r="G169" s="5"/>
      <c r="H169" s="1"/>
      <c r="I169" s="40"/>
      <c r="J169" s="8"/>
      <c r="K169" s="8"/>
      <c r="L169" s="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/>
      <c r="C170" s="1"/>
      <c r="D170" s="46"/>
      <c r="E170" s="1"/>
      <c r="F170" s="1"/>
      <c r="G170" s="5"/>
      <c r="H170" s="1"/>
      <c r="I170" s="40"/>
      <c r="J170" s="8"/>
      <c r="K170" s="8"/>
      <c r="L170" s="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/>
      <c r="C171" s="1"/>
      <c r="D171" s="46"/>
      <c r="E171" s="1"/>
      <c r="F171" s="1"/>
      <c r="G171" s="5"/>
      <c r="H171" s="1"/>
      <c r="I171" s="40"/>
      <c r="J171" s="8"/>
      <c r="K171" s="8"/>
      <c r="L171" s="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/>
      <c r="C172" s="1"/>
      <c r="D172" s="46"/>
      <c r="E172" s="1"/>
      <c r="F172" s="1"/>
      <c r="G172" s="5"/>
      <c r="H172" s="1"/>
      <c r="I172" s="40"/>
      <c r="J172" s="8"/>
      <c r="K172" s="8"/>
      <c r="L172" s="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/>
      <c r="C173" s="1"/>
      <c r="D173" s="46"/>
      <c r="E173" s="1"/>
      <c r="F173" s="1"/>
      <c r="G173" s="5"/>
      <c r="H173" s="1"/>
      <c r="I173" s="40"/>
      <c r="J173" s="8"/>
      <c r="K173" s="8"/>
      <c r="L173" s="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/>
      <c r="C174" s="1"/>
      <c r="D174" s="46"/>
      <c r="E174" s="1"/>
      <c r="F174" s="1"/>
      <c r="G174" s="5"/>
      <c r="H174" s="1"/>
      <c r="I174" s="40"/>
      <c r="J174" s="8"/>
      <c r="K174" s="8"/>
      <c r="L174" s="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/>
      <c r="C175" s="1"/>
      <c r="D175" s="46"/>
      <c r="E175" s="1"/>
      <c r="F175" s="1"/>
      <c r="G175" s="5"/>
      <c r="H175" s="1"/>
      <c r="I175" s="40"/>
      <c r="J175" s="8"/>
      <c r="K175" s="8"/>
      <c r="L175" s="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/>
      <c r="C176" s="1"/>
      <c r="D176" s="46"/>
      <c r="E176" s="1"/>
      <c r="F176" s="1"/>
      <c r="G176" s="5"/>
      <c r="H176" s="1"/>
      <c r="I176" s="40"/>
      <c r="J176" s="8"/>
      <c r="K176" s="8"/>
      <c r="L176" s="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/>
      <c r="C177" s="1"/>
      <c r="D177" s="46"/>
      <c r="E177" s="1"/>
      <c r="F177" s="1"/>
      <c r="G177" s="5"/>
      <c r="H177" s="1"/>
      <c r="I177" s="40"/>
      <c r="J177" s="8"/>
      <c r="K177" s="8"/>
      <c r="L177" s="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/>
      <c r="C178" s="1"/>
      <c r="D178" s="46"/>
      <c r="E178" s="1"/>
      <c r="F178" s="1"/>
      <c r="G178" s="5"/>
      <c r="H178" s="1"/>
      <c r="I178" s="40"/>
      <c r="J178" s="8"/>
      <c r="K178" s="8"/>
      <c r="L178" s="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/>
      <c r="C179" s="1"/>
      <c r="D179" s="46"/>
      <c r="E179" s="1"/>
      <c r="F179" s="1"/>
      <c r="G179" s="5"/>
      <c r="H179" s="1"/>
      <c r="I179" s="40"/>
      <c r="J179" s="8"/>
      <c r="K179" s="8"/>
      <c r="L179" s="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/>
      <c r="C180" s="1"/>
      <c r="D180" s="46"/>
      <c r="E180" s="1"/>
      <c r="F180" s="1"/>
      <c r="G180" s="5"/>
      <c r="H180" s="1"/>
      <c r="I180" s="40"/>
      <c r="J180" s="8"/>
      <c r="K180" s="8"/>
      <c r="L180" s="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/>
      <c r="C181" s="1"/>
      <c r="D181" s="46"/>
      <c r="E181" s="1"/>
      <c r="F181" s="1"/>
      <c r="G181" s="5"/>
      <c r="H181" s="1"/>
      <c r="I181" s="40"/>
      <c r="J181" s="8"/>
      <c r="K181" s="8"/>
      <c r="L181" s="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/>
      <c r="C182" s="1"/>
      <c r="D182" s="46"/>
      <c r="E182" s="1"/>
      <c r="F182" s="1"/>
      <c r="G182" s="5"/>
      <c r="H182" s="1"/>
      <c r="I182" s="40"/>
      <c r="J182" s="8"/>
      <c r="K182" s="8"/>
      <c r="L182" s="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/>
      <c r="C183" s="1"/>
      <c r="D183" s="46"/>
      <c r="E183" s="1"/>
      <c r="F183" s="1"/>
      <c r="G183" s="5"/>
      <c r="H183" s="1"/>
      <c r="I183" s="40"/>
      <c r="J183" s="8"/>
      <c r="K183" s="8"/>
      <c r="L183" s="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/>
      <c r="C184" s="1"/>
      <c r="D184" s="46"/>
      <c r="E184" s="1"/>
      <c r="F184" s="1"/>
      <c r="G184" s="5"/>
      <c r="H184" s="1"/>
      <c r="I184" s="40"/>
      <c r="J184" s="8"/>
      <c r="K184" s="8"/>
      <c r="L184" s="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/>
      <c r="C185" s="1"/>
      <c r="D185" s="46"/>
      <c r="E185" s="1"/>
      <c r="F185" s="1"/>
      <c r="G185" s="5"/>
      <c r="H185" s="1"/>
      <c r="I185" s="40"/>
      <c r="J185" s="8"/>
      <c r="K185" s="8"/>
      <c r="L185" s="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/>
      <c r="C186" s="1"/>
      <c r="D186" s="46"/>
      <c r="E186" s="1"/>
      <c r="F186" s="1"/>
      <c r="G186" s="5"/>
      <c r="H186" s="1"/>
      <c r="I186" s="40"/>
      <c r="J186" s="8"/>
      <c r="K186" s="8"/>
      <c r="L186" s="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/>
      <c r="C187" s="1"/>
      <c r="D187" s="46"/>
      <c r="E187" s="1"/>
      <c r="F187" s="1"/>
      <c r="G187" s="5"/>
      <c r="H187" s="1"/>
      <c r="I187" s="40"/>
      <c r="J187" s="8"/>
      <c r="K187" s="8"/>
      <c r="L187" s="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/>
      <c r="C188" s="1"/>
      <c r="D188" s="46"/>
      <c r="E188" s="1"/>
      <c r="F188" s="1"/>
      <c r="G188" s="5"/>
      <c r="H188" s="1"/>
      <c r="I188" s="40"/>
      <c r="J188" s="8"/>
      <c r="K188" s="8"/>
      <c r="L188" s="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/>
      <c r="C189" s="1"/>
      <c r="D189" s="46"/>
      <c r="E189" s="1"/>
      <c r="F189" s="1"/>
      <c r="G189" s="5"/>
      <c r="H189" s="1"/>
      <c r="I189" s="40"/>
      <c r="J189" s="8"/>
      <c r="K189" s="8"/>
      <c r="L189" s="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1"/>
      <c r="D190" s="46"/>
      <c r="E190" s="1"/>
      <c r="F190" s="1"/>
      <c r="G190" s="5"/>
      <c r="H190" s="1"/>
      <c r="I190" s="40"/>
      <c r="J190" s="8"/>
      <c r="K190" s="8"/>
      <c r="L190" s="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1"/>
      <c r="D191" s="46"/>
      <c r="E191" s="1"/>
      <c r="F191" s="1"/>
      <c r="G191" s="5"/>
      <c r="H191" s="1"/>
      <c r="I191" s="40"/>
      <c r="J191" s="8"/>
      <c r="K191" s="8"/>
      <c r="L191" s="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1"/>
      <c r="D192" s="46"/>
      <c r="E192" s="1"/>
      <c r="F192" s="1"/>
      <c r="G192" s="5"/>
      <c r="H192" s="1"/>
      <c r="I192" s="40"/>
      <c r="J192" s="8"/>
      <c r="K192" s="8"/>
      <c r="L192" s="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1"/>
      <c r="D193" s="46"/>
      <c r="E193" s="1"/>
      <c r="F193" s="1"/>
      <c r="G193" s="5"/>
      <c r="H193" s="1"/>
      <c r="I193" s="40"/>
      <c r="J193" s="8"/>
      <c r="K193" s="8"/>
      <c r="L193" s="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1"/>
      <c r="D194" s="46"/>
      <c r="E194" s="1"/>
      <c r="F194" s="1"/>
      <c r="G194" s="5"/>
      <c r="H194" s="1"/>
      <c r="I194" s="40"/>
      <c r="J194" s="8"/>
      <c r="K194" s="8"/>
      <c r="L194" s="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1"/>
      <c r="D195" s="46"/>
      <c r="E195" s="1"/>
      <c r="F195" s="1"/>
      <c r="G195" s="5"/>
      <c r="H195" s="1"/>
      <c r="I195" s="40"/>
      <c r="J195" s="8"/>
      <c r="K195" s="8"/>
      <c r="L195" s="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1"/>
      <c r="D196" s="46"/>
      <c r="E196" s="1"/>
      <c r="F196" s="1"/>
      <c r="G196" s="5"/>
      <c r="H196" s="1"/>
      <c r="I196" s="40"/>
      <c r="J196" s="8"/>
      <c r="K196" s="8"/>
      <c r="L196" s="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1"/>
      <c r="D197" s="46"/>
      <c r="E197" s="1"/>
      <c r="F197" s="1"/>
      <c r="G197" s="5"/>
      <c r="H197" s="1"/>
      <c r="I197" s="40"/>
      <c r="J197" s="8"/>
      <c r="K197" s="8"/>
      <c r="L197" s="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1"/>
      <c r="D198" s="46"/>
      <c r="E198" s="1"/>
      <c r="F198" s="1"/>
      <c r="G198" s="5"/>
      <c r="H198" s="1"/>
      <c r="I198" s="40"/>
      <c r="J198" s="8"/>
      <c r="K198" s="8"/>
      <c r="L198" s="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1"/>
      <c r="D199" s="46"/>
      <c r="E199" s="1"/>
      <c r="F199" s="1"/>
      <c r="G199" s="5"/>
      <c r="H199" s="1"/>
      <c r="I199" s="40"/>
      <c r="J199" s="8"/>
      <c r="K199" s="8"/>
      <c r="L199" s="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1"/>
      <c r="D200" s="46"/>
      <c r="E200" s="1"/>
      <c r="F200" s="1"/>
      <c r="G200" s="5"/>
      <c r="H200" s="1"/>
      <c r="I200" s="40"/>
      <c r="J200" s="8"/>
      <c r="K200" s="8"/>
      <c r="L200" s="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1"/>
      <c r="D201" s="46"/>
      <c r="E201" s="1"/>
      <c r="F201" s="1"/>
      <c r="G201" s="5"/>
      <c r="H201" s="1"/>
      <c r="I201" s="40"/>
      <c r="J201" s="8"/>
      <c r="K201" s="8"/>
      <c r="L201" s="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1"/>
      <c r="D202" s="46"/>
      <c r="E202" s="1"/>
      <c r="F202" s="1"/>
      <c r="G202" s="5"/>
      <c r="H202" s="1"/>
      <c r="I202" s="40"/>
      <c r="J202" s="8"/>
      <c r="K202" s="8"/>
      <c r="L202" s="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1"/>
      <c r="D203" s="46"/>
      <c r="E203" s="1"/>
      <c r="F203" s="1"/>
      <c r="G203" s="5"/>
      <c r="H203" s="1"/>
      <c r="I203" s="40"/>
      <c r="J203" s="8"/>
      <c r="K203" s="8"/>
      <c r="L203" s="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1"/>
      <c r="D204" s="46"/>
      <c r="E204" s="1"/>
      <c r="F204" s="1"/>
      <c r="G204" s="5"/>
      <c r="H204" s="1"/>
      <c r="I204" s="40"/>
      <c r="J204" s="8"/>
      <c r="K204" s="8"/>
      <c r="L204" s="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1"/>
      <c r="D205" s="46"/>
      <c r="E205" s="1"/>
      <c r="F205" s="1"/>
      <c r="G205" s="5"/>
      <c r="H205" s="1"/>
      <c r="I205" s="40"/>
      <c r="J205" s="8"/>
      <c r="K205" s="8"/>
      <c r="L205" s="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1"/>
      <c r="D206" s="46"/>
      <c r="E206" s="1"/>
      <c r="F206" s="1"/>
      <c r="G206" s="5"/>
      <c r="H206" s="1"/>
      <c r="I206" s="40"/>
      <c r="J206" s="8"/>
      <c r="K206" s="8"/>
      <c r="L206" s="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1"/>
      <c r="D207" s="46"/>
      <c r="E207" s="1"/>
      <c r="F207" s="1"/>
      <c r="G207" s="5"/>
      <c r="H207" s="1"/>
      <c r="I207" s="40"/>
      <c r="J207" s="8"/>
      <c r="K207" s="8"/>
      <c r="L207" s="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1"/>
      <c r="D208" s="46"/>
      <c r="E208" s="1"/>
      <c r="F208" s="1"/>
      <c r="G208" s="5"/>
      <c r="H208" s="1"/>
      <c r="I208" s="40"/>
      <c r="J208" s="8"/>
      <c r="K208" s="8"/>
      <c r="L208" s="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1"/>
      <c r="D209" s="46"/>
      <c r="E209" s="1"/>
      <c r="F209" s="1"/>
      <c r="G209" s="5"/>
      <c r="H209" s="1"/>
      <c r="I209" s="40"/>
      <c r="J209" s="8"/>
      <c r="K209" s="8"/>
      <c r="L209" s="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1"/>
      <c r="D210" s="46"/>
      <c r="E210" s="1"/>
      <c r="F210" s="1"/>
      <c r="G210" s="5"/>
      <c r="H210" s="1"/>
      <c r="I210" s="40"/>
      <c r="J210" s="8"/>
      <c r="K210" s="8"/>
      <c r="L210" s="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1"/>
      <c r="D211" s="46"/>
      <c r="E211" s="1"/>
      <c r="F211" s="1"/>
      <c r="G211" s="5"/>
      <c r="H211" s="1"/>
      <c r="I211" s="40"/>
      <c r="J211" s="8"/>
      <c r="K211" s="8"/>
      <c r="L211" s="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1"/>
      <c r="D212" s="46"/>
      <c r="E212" s="1"/>
      <c r="F212" s="1"/>
      <c r="G212" s="5"/>
      <c r="H212" s="1"/>
      <c r="I212" s="40"/>
      <c r="J212" s="8"/>
      <c r="K212" s="8"/>
      <c r="L212" s="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1.0</v>
      </c>
      <c r="B213" s="5"/>
      <c r="C213" s="1"/>
      <c r="D213" s="46"/>
      <c r="E213" s="1"/>
      <c r="F213" s="1"/>
      <c r="G213" s="5"/>
      <c r="H213" s="1"/>
      <c r="I213" s="40"/>
      <c r="J213" s="8"/>
      <c r="K213" s="8"/>
      <c r="L213" s="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1.0</v>
      </c>
      <c r="B214" s="5"/>
      <c r="C214" s="1"/>
      <c r="D214" s="46"/>
      <c r="E214" s="1"/>
      <c r="F214" s="1"/>
      <c r="G214" s="5"/>
      <c r="H214" s="1"/>
      <c r="I214" s="40"/>
      <c r="J214" s="8"/>
      <c r="K214" s="8"/>
      <c r="L214" s="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1"/>
      <c r="D215" s="46"/>
      <c r="E215" s="1"/>
      <c r="F215" s="1"/>
      <c r="G215" s="5"/>
      <c r="H215" s="1"/>
      <c r="I215" s="40"/>
      <c r="J215" s="8"/>
      <c r="K215" s="8"/>
      <c r="L215" s="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1"/>
      <c r="D216" s="46"/>
      <c r="E216" s="1"/>
      <c r="F216" s="1"/>
      <c r="G216" s="5"/>
      <c r="H216" s="1"/>
      <c r="I216" s="40"/>
      <c r="J216" s="8"/>
      <c r="K216" s="8"/>
      <c r="L216" s="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1"/>
      <c r="D217" s="46"/>
      <c r="E217" s="1"/>
      <c r="F217" s="1"/>
      <c r="G217" s="5"/>
      <c r="H217" s="1"/>
      <c r="I217" s="40"/>
      <c r="J217" s="8"/>
      <c r="K217" s="8"/>
      <c r="L217" s="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1"/>
      <c r="D218" s="46"/>
      <c r="E218" s="1"/>
      <c r="F218" s="1"/>
      <c r="G218" s="5"/>
      <c r="H218" s="1"/>
      <c r="I218" s="40"/>
      <c r="J218" s="8"/>
      <c r="K218" s="8"/>
      <c r="L218" s="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1"/>
      <c r="D219" s="46"/>
      <c r="E219" s="1"/>
      <c r="F219" s="1"/>
      <c r="G219" s="5"/>
      <c r="H219" s="1"/>
      <c r="I219" s="40"/>
      <c r="J219" s="8"/>
      <c r="K219" s="8"/>
      <c r="L219" s="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1"/>
      <c r="D220" s="46"/>
      <c r="E220" s="1"/>
      <c r="F220" s="1"/>
      <c r="G220" s="5"/>
      <c r="H220" s="1"/>
      <c r="I220" s="40"/>
      <c r="J220" s="8"/>
      <c r="K220" s="8"/>
      <c r="L220" s="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1"/>
      <c r="D221" s="46"/>
      <c r="E221" s="1"/>
      <c r="F221" s="1"/>
      <c r="G221" s="5"/>
      <c r="H221" s="1"/>
      <c r="I221" s="40"/>
      <c r="J221" s="8"/>
      <c r="K221" s="8"/>
      <c r="L221" s="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1"/>
      <c r="D222" s="46"/>
      <c r="E222" s="1"/>
      <c r="F222" s="1"/>
      <c r="G222" s="5"/>
      <c r="H222" s="1"/>
      <c r="I222" s="40"/>
      <c r="J222" s="8"/>
      <c r="K222" s="8"/>
      <c r="L222" s="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1"/>
      <c r="D223" s="46"/>
      <c r="E223" s="1"/>
      <c r="F223" s="1"/>
      <c r="G223" s="5"/>
      <c r="H223" s="1"/>
      <c r="I223" s="40"/>
      <c r="J223" s="8"/>
      <c r="K223" s="8"/>
      <c r="L223" s="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1"/>
      <c r="D224" s="46"/>
      <c r="E224" s="1"/>
      <c r="F224" s="1"/>
      <c r="G224" s="5"/>
      <c r="H224" s="1"/>
      <c r="I224" s="40"/>
      <c r="J224" s="8"/>
      <c r="K224" s="8"/>
      <c r="L224" s="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1"/>
      <c r="D225" s="46"/>
      <c r="E225" s="1"/>
      <c r="F225" s="1"/>
      <c r="G225" s="5"/>
      <c r="H225" s="1"/>
      <c r="I225" s="40"/>
      <c r="J225" s="8"/>
      <c r="K225" s="8"/>
      <c r="L225" s="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1"/>
      <c r="D226" s="46"/>
      <c r="E226" s="1"/>
      <c r="F226" s="1"/>
      <c r="G226" s="5"/>
      <c r="H226" s="1"/>
      <c r="I226" s="40"/>
      <c r="J226" s="8"/>
      <c r="K226" s="8"/>
      <c r="L226" s="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1"/>
      <c r="D227" s="46"/>
      <c r="E227" s="1"/>
      <c r="F227" s="1"/>
      <c r="G227" s="5"/>
      <c r="H227" s="1"/>
      <c r="I227" s="40"/>
      <c r="J227" s="8"/>
      <c r="K227" s="8"/>
      <c r="L227" s="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1"/>
      <c r="D228" s="46"/>
      <c r="E228" s="1"/>
      <c r="F228" s="1"/>
      <c r="G228" s="5"/>
      <c r="H228" s="1"/>
      <c r="I228" s="40"/>
      <c r="J228" s="8"/>
      <c r="K228" s="8"/>
      <c r="L228" s="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1"/>
      <c r="D229" s="46"/>
      <c r="E229" s="1"/>
      <c r="F229" s="1"/>
      <c r="G229" s="5"/>
      <c r="H229" s="1"/>
      <c r="I229" s="40"/>
      <c r="J229" s="8"/>
      <c r="K229" s="8"/>
      <c r="L229" s="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1"/>
      <c r="D230" s="46"/>
      <c r="E230" s="1"/>
      <c r="F230" s="1"/>
      <c r="G230" s="5"/>
      <c r="H230" s="1"/>
      <c r="I230" s="40"/>
      <c r="J230" s="8"/>
      <c r="K230" s="8"/>
      <c r="L230" s="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1"/>
      <c r="D231" s="46"/>
      <c r="E231" s="1"/>
      <c r="F231" s="1"/>
      <c r="G231" s="5"/>
      <c r="H231" s="1"/>
      <c r="I231" s="40"/>
      <c r="J231" s="8"/>
      <c r="K231" s="8"/>
      <c r="L231" s="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1"/>
      <c r="D232" s="46"/>
      <c r="E232" s="1"/>
      <c r="F232" s="1"/>
      <c r="G232" s="5"/>
      <c r="H232" s="1"/>
      <c r="I232" s="40"/>
      <c r="J232" s="8"/>
      <c r="K232" s="8"/>
      <c r="L232" s="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1"/>
      <c r="D233" s="46"/>
      <c r="E233" s="1"/>
      <c r="F233" s="1"/>
      <c r="G233" s="5"/>
      <c r="H233" s="1"/>
      <c r="I233" s="40"/>
      <c r="J233" s="8"/>
      <c r="K233" s="8"/>
      <c r="L233" s="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1"/>
      <c r="D234" s="46"/>
      <c r="E234" s="1"/>
      <c r="F234" s="1"/>
      <c r="G234" s="5"/>
      <c r="H234" s="1"/>
      <c r="I234" s="40"/>
      <c r="J234" s="8"/>
      <c r="K234" s="8"/>
      <c r="L234" s="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1"/>
      <c r="D235" s="46"/>
      <c r="E235" s="1"/>
      <c r="F235" s="1"/>
      <c r="G235" s="5"/>
      <c r="H235" s="1"/>
      <c r="I235" s="40"/>
      <c r="J235" s="8"/>
      <c r="K235" s="8"/>
      <c r="L235" s="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1"/>
      <c r="D236" s="46"/>
      <c r="E236" s="1"/>
      <c r="F236" s="1"/>
      <c r="G236" s="5"/>
      <c r="H236" s="1"/>
      <c r="I236" s="40"/>
      <c r="J236" s="8"/>
      <c r="K236" s="8"/>
      <c r="L236" s="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1"/>
      <c r="D237" s="46"/>
      <c r="E237" s="1"/>
      <c r="F237" s="1"/>
      <c r="G237" s="5"/>
      <c r="H237" s="1"/>
      <c r="I237" s="40"/>
      <c r="J237" s="8"/>
      <c r="K237" s="8"/>
      <c r="L237" s="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1"/>
      <c r="D238" s="46"/>
      <c r="E238" s="1"/>
      <c r="F238" s="1"/>
      <c r="G238" s="5"/>
      <c r="H238" s="1"/>
      <c r="I238" s="40"/>
      <c r="J238" s="8"/>
      <c r="K238" s="8"/>
      <c r="L238" s="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1"/>
      <c r="D239" s="46"/>
      <c r="E239" s="1"/>
      <c r="F239" s="1"/>
      <c r="G239" s="5"/>
      <c r="H239" s="1"/>
      <c r="I239" s="40"/>
      <c r="J239" s="8"/>
      <c r="K239" s="8"/>
      <c r="L239" s="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1"/>
      <c r="D240" s="46"/>
      <c r="E240" s="1"/>
      <c r="F240" s="1"/>
      <c r="G240" s="5"/>
      <c r="H240" s="1"/>
      <c r="I240" s="40"/>
      <c r="J240" s="8"/>
      <c r="K240" s="8"/>
      <c r="L240" s="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1"/>
      <c r="D241" s="46"/>
      <c r="E241" s="1"/>
      <c r="F241" s="1"/>
      <c r="G241" s="5"/>
      <c r="H241" s="1"/>
      <c r="I241" s="40"/>
      <c r="J241" s="8"/>
      <c r="K241" s="8"/>
      <c r="L241" s="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1"/>
      <c r="D242" s="46"/>
      <c r="E242" s="1"/>
      <c r="F242" s="1"/>
      <c r="G242" s="5"/>
      <c r="H242" s="1"/>
      <c r="I242" s="40"/>
      <c r="J242" s="8"/>
      <c r="K242" s="8"/>
      <c r="L242" s="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1"/>
      <c r="D243" s="46"/>
      <c r="E243" s="1"/>
      <c r="F243" s="1"/>
      <c r="G243" s="5"/>
      <c r="H243" s="1"/>
      <c r="I243" s="40"/>
      <c r="J243" s="8"/>
      <c r="K243" s="8"/>
      <c r="L243" s="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1"/>
      <c r="D244" s="46"/>
      <c r="E244" s="1"/>
      <c r="F244" s="1"/>
      <c r="G244" s="5"/>
      <c r="H244" s="1"/>
      <c r="I244" s="40"/>
      <c r="J244" s="8"/>
      <c r="K244" s="8"/>
      <c r="L244" s="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1"/>
      <c r="D245" s="46"/>
      <c r="E245" s="1"/>
      <c r="F245" s="1"/>
      <c r="G245" s="5"/>
      <c r="H245" s="1"/>
      <c r="I245" s="40"/>
      <c r="J245" s="8"/>
      <c r="K245" s="8"/>
      <c r="L245" s="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1"/>
      <c r="D246" s="46"/>
      <c r="E246" s="1"/>
      <c r="F246" s="1"/>
      <c r="G246" s="5"/>
      <c r="H246" s="1"/>
      <c r="I246" s="40"/>
      <c r="J246" s="8"/>
      <c r="K246" s="8"/>
      <c r="L246" s="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1"/>
      <c r="D247" s="46"/>
      <c r="E247" s="1"/>
      <c r="F247" s="1"/>
      <c r="G247" s="5"/>
      <c r="H247" s="1"/>
      <c r="I247" s="40"/>
      <c r="J247" s="8"/>
      <c r="K247" s="8"/>
      <c r="L247" s="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1"/>
      <c r="D248" s="46"/>
      <c r="E248" s="1"/>
      <c r="F248" s="1"/>
      <c r="G248" s="5"/>
      <c r="H248" s="1"/>
      <c r="I248" s="40"/>
      <c r="J248" s="8"/>
      <c r="K248" s="8"/>
      <c r="L248" s="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1"/>
      <c r="D249" s="46"/>
      <c r="E249" s="1"/>
      <c r="F249" s="1"/>
      <c r="G249" s="5"/>
      <c r="H249" s="1"/>
      <c r="I249" s="40"/>
      <c r="J249" s="8"/>
      <c r="K249" s="8"/>
      <c r="L249" s="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1"/>
      <c r="D250" s="46"/>
      <c r="E250" s="1"/>
      <c r="F250" s="1"/>
      <c r="G250" s="5"/>
      <c r="H250" s="1"/>
      <c r="I250" s="40"/>
      <c r="J250" s="8"/>
      <c r="K250" s="8"/>
      <c r="L250" s="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1"/>
      <c r="D251" s="46"/>
      <c r="E251" s="1"/>
      <c r="F251" s="1"/>
      <c r="G251" s="5"/>
      <c r="H251" s="1"/>
      <c r="I251" s="40"/>
      <c r="J251" s="8"/>
      <c r="K251" s="8"/>
      <c r="L251" s="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1"/>
      <c r="D252" s="46"/>
      <c r="E252" s="1"/>
      <c r="F252" s="1"/>
      <c r="G252" s="5"/>
      <c r="H252" s="1"/>
      <c r="I252" s="40"/>
      <c r="J252" s="8"/>
      <c r="K252" s="8"/>
      <c r="L252" s="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1"/>
      <c r="D253" s="46"/>
      <c r="E253" s="1"/>
      <c r="F253" s="1"/>
      <c r="G253" s="5"/>
      <c r="H253" s="1"/>
      <c r="I253" s="40"/>
      <c r="J253" s="8"/>
      <c r="K253" s="8"/>
      <c r="L253" s="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1"/>
      <c r="D254" s="46"/>
      <c r="E254" s="1"/>
      <c r="F254" s="1"/>
      <c r="G254" s="5"/>
      <c r="H254" s="1"/>
      <c r="I254" s="40"/>
      <c r="J254" s="8"/>
      <c r="K254" s="8"/>
      <c r="L254" s="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1"/>
      <c r="D255" s="46"/>
      <c r="E255" s="1"/>
      <c r="F255" s="1"/>
      <c r="G255" s="5"/>
      <c r="H255" s="1"/>
      <c r="I255" s="40"/>
      <c r="J255" s="8"/>
      <c r="K255" s="8"/>
      <c r="L255" s="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1"/>
      <c r="D256" s="46"/>
      <c r="E256" s="1"/>
      <c r="F256" s="1"/>
      <c r="G256" s="5"/>
      <c r="H256" s="1"/>
      <c r="I256" s="40"/>
      <c r="J256" s="8"/>
      <c r="K256" s="8"/>
      <c r="L256" s="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1"/>
      <c r="D257" s="46"/>
      <c r="E257" s="1"/>
      <c r="F257" s="1"/>
      <c r="G257" s="5"/>
      <c r="H257" s="1"/>
      <c r="I257" s="40"/>
      <c r="J257" s="8"/>
      <c r="K257" s="8"/>
      <c r="L257" s="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1"/>
      <c r="D258" s="46"/>
      <c r="E258" s="1"/>
      <c r="F258" s="1"/>
      <c r="G258" s="5"/>
      <c r="H258" s="1"/>
      <c r="I258" s="40"/>
      <c r="J258" s="8"/>
      <c r="K258" s="8"/>
      <c r="L258" s="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1"/>
      <c r="D259" s="46"/>
      <c r="E259" s="1"/>
      <c r="F259" s="1"/>
      <c r="G259" s="5"/>
      <c r="H259" s="1"/>
      <c r="I259" s="40"/>
      <c r="J259" s="8"/>
      <c r="K259" s="8"/>
      <c r="L259" s="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1"/>
      <c r="D260" s="46"/>
      <c r="E260" s="1"/>
      <c r="F260" s="1"/>
      <c r="G260" s="5"/>
      <c r="H260" s="1"/>
      <c r="I260" s="40"/>
      <c r="J260" s="8"/>
      <c r="K260" s="8"/>
      <c r="L260" s="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1"/>
      <c r="D261" s="46"/>
      <c r="E261" s="1"/>
      <c r="F261" s="1"/>
      <c r="G261" s="5"/>
      <c r="H261" s="1"/>
      <c r="I261" s="40"/>
      <c r="J261" s="8"/>
      <c r="K261" s="8"/>
      <c r="L261" s="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1"/>
      <c r="D262" s="46"/>
      <c r="E262" s="1"/>
      <c r="F262" s="1"/>
      <c r="G262" s="5"/>
      <c r="H262" s="1"/>
      <c r="I262" s="40"/>
      <c r="J262" s="8"/>
      <c r="K262" s="8"/>
      <c r="L262" s="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1"/>
      <c r="D263" s="46"/>
      <c r="E263" s="1"/>
      <c r="F263" s="1"/>
      <c r="G263" s="5"/>
      <c r="H263" s="1"/>
      <c r="I263" s="40"/>
      <c r="J263" s="8"/>
      <c r="K263" s="8"/>
      <c r="L263" s="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5"/>
      <c r="C264" s="1"/>
      <c r="D264" s="46"/>
      <c r="E264" s="1"/>
      <c r="F264" s="1"/>
      <c r="G264" s="5"/>
      <c r="H264" s="1"/>
      <c r="I264" s="40"/>
      <c r="J264" s="8"/>
      <c r="K264" s="8"/>
      <c r="L264" s="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5"/>
      <c r="C265" s="1"/>
      <c r="D265" s="46"/>
      <c r="E265" s="1"/>
      <c r="F265" s="1"/>
      <c r="G265" s="5"/>
      <c r="H265" s="1"/>
      <c r="I265" s="40"/>
      <c r="J265" s="8"/>
      <c r="K265" s="8"/>
      <c r="L265" s="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5"/>
      <c r="C266" s="1"/>
      <c r="D266" s="46"/>
      <c r="E266" s="1"/>
      <c r="F266" s="1"/>
      <c r="G266" s="5"/>
      <c r="H266" s="1"/>
      <c r="I266" s="40"/>
      <c r="J266" s="8"/>
      <c r="K266" s="8"/>
      <c r="L266" s="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5"/>
      <c r="C267" s="1"/>
      <c r="D267" s="46"/>
      <c r="E267" s="1"/>
      <c r="F267" s="1"/>
      <c r="G267" s="5"/>
      <c r="H267" s="1"/>
      <c r="I267" s="40"/>
      <c r="J267" s="8"/>
      <c r="K267" s="8"/>
      <c r="L267" s="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5"/>
      <c r="C268" s="1"/>
      <c r="D268" s="46"/>
      <c r="E268" s="1"/>
      <c r="F268" s="1"/>
      <c r="G268" s="5"/>
      <c r="H268" s="1"/>
      <c r="I268" s="40"/>
      <c r="J268" s="8"/>
      <c r="K268" s="8"/>
      <c r="L268" s="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5"/>
      <c r="C269" s="1"/>
      <c r="D269" s="46"/>
      <c r="E269" s="1"/>
      <c r="F269" s="1"/>
      <c r="G269" s="5"/>
      <c r="H269" s="1"/>
      <c r="I269" s="40"/>
      <c r="J269" s="8"/>
      <c r="K269" s="8"/>
      <c r="L269" s="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5"/>
      <c r="C270" s="1"/>
      <c r="D270" s="46"/>
      <c r="E270" s="1"/>
      <c r="F270" s="1"/>
      <c r="G270" s="5"/>
      <c r="H270" s="1"/>
      <c r="I270" s="40"/>
      <c r="J270" s="8"/>
      <c r="K270" s="8"/>
      <c r="L270" s="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5"/>
      <c r="C271" s="1"/>
      <c r="D271" s="46"/>
      <c r="E271" s="1"/>
      <c r="F271" s="1"/>
      <c r="G271" s="5"/>
      <c r="H271" s="1"/>
      <c r="I271" s="40"/>
      <c r="J271" s="8"/>
      <c r="K271" s="8"/>
      <c r="L271" s="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5"/>
      <c r="C272" s="1"/>
      <c r="D272" s="46"/>
      <c r="E272" s="1"/>
      <c r="F272" s="1"/>
      <c r="G272" s="5"/>
      <c r="H272" s="1"/>
      <c r="I272" s="40"/>
      <c r="J272" s="8"/>
      <c r="K272" s="8"/>
      <c r="L272" s="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5"/>
      <c r="C273" s="1"/>
      <c r="D273" s="46"/>
      <c r="E273" s="1"/>
      <c r="F273" s="1"/>
      <c r="G273" s="5"/>
      <c r="H273" s="1"/>
      <c r="I273" s="40"/>
      <c r="J273" s="8"/>
      <c r="K273" s="8"/>
      <c r="L273" s="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5"/>
      <c r="C274" s="1"/>
      <c r="D274" s="46"/>
      <c r="E274" s="1"/>
      <c r="F274" s="1"/>
      <c r="G274" s="5"/>
      <c r="H274" s="1"/>
      <c r="I274" s="40"/>
      <c r="J274" s="8"/>
      <c r="K274" s="8"/>
      <c r="L274" s="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5"/>
      <c r="C275" s="1"/>
      <c r="D275" s="46"/>
      <c r="E275" s="1"/>
      <c r="F275" s="1"/>
      <c r="G275" s="5"/>
      <c r="H275" s="1"/>
      <c r="I275" s="40"/>
      <c r="J275" s="8"/>
      <c r="K275" s="8"/>
      <c r="L275" s="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5"/>
      <c r="C276" s="1"/>
      <c r="D276" s="46"/>
      <c r="E276" s="1"/>
      <c r="F276" s="1"/>
      <c r="G276" s="5"/>
      <c r="H276" s="1"/>
      <c r="I276" s="40"/>
      <c r="J276" s="8"/>
      <c r="K276" s="8"/>
      <c r="L276" s="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5"/>
      <c r="C277" s="1"/>
      <c r="D277" s="46"/>
      <c r="E277" s="1"/>
      <c r="F277" s="1"/>
      <c r="G277" s="5"/>
      <c r="H277" s="1"/>
      <c r="I277" s="40"/>
      <c r="J277" s="8"/>
      <c r="K277" s="8"/>
      <c r="L277" s="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5"/>
      <c r="C278" s="1"/>
      <c r="D278" s="46"/>
      <c r="E278" s="1"/>
      <c r="F278" s="1"/>
      <c r="G278" s="5"/>
      <c r="H278" s="1"/>
      <c r="I278" s="40"/>
      <c r="J278" s="8"/>
      <c r="K278" s="8"/>
      <c r="L278" s="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5"/>
      <c r="C279" s="1"/>
      <c r="D279" s="46"/>
      <c r="E279" s="1"/>
      <c r="F279" s="1"/>
      <c r="G279" s="5"/>
      <c r="H279" s="1"/>
      <c r="I279" s="40"/>
      <c r="J279" s="8"/>
      <c r="K279" s="8"/>
      <c r="L279" s="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5"/>
      <c r="C280" s="1"/>
      <c r="D280" s="46"/>
      <c r="E280" s="1"/>
      <c r="F280" s="1"/>
      <c r="G280" s="5"/>
      <c r="H280" s="1"/>
      <c r="I280" s="40"/>
      <c r="J280" s="8"/>
      <c r="K280" s="8"/>
      <c r="L280" s="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5"/>
      <c r="C281" s="1"/>
      <c r="D281" s="46"/>
      <c r="E281" s="1"/>
      <c r="F281" s="1"/>
      <c r="G281" s="5"/>
      <c r="H281" s="1"/>
      <c r="I281" s="40"/>
      <c r="J281" s="8"/>
      <c r="K281" s="8"/>
      <c r="L281" s="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5"/>
      <c r="C282" s="1"/>
      <c r="D282" s="46"/>
      <c r="E282" s="1"/>
      <c r="F282" s="1"/>
      <c r="G282" s="5"/>
      <c r="H282" s="1"/>
      <c r="I282" s="40"/>
      <c r="J282" s="8"/>
      <c r="K282" s="8"/>
      <c r="L282" s="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5"/>
      <c r="C283" s="1"/>
      <c r="D283" s="46"/>
      <c r="E283" s="1"/>
      <c r="F283" s="1"/>
      <c r="G283" s="5"/>
      <c r="H283" s="1"/>
      <c r="I283" s="40"/>
      <c r="J283" s="8"/>
      <c r="K283" s="8"/>
      <c r="L283" s="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5"/>
      <c r="C284" s="1"/>
      <c r="D284" s="46"/>
      <c r="E284" s="1"/>
      <c r="F284" s="1"/>
      <c r="G284" s="5"/>
      <c r="H284" s="1"/>
      <c r="I284" s="40"/>
      <c r="J284" s="8"/>
      <c r="K284" s="8"/>
      <c r="L284" s="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5"/>
      <c r="C285" s="1"/>
      <c r="D285" s="46"/>
      <c r="E285" s="1"/>
      <c r="F285" s="1"/>
      <c r="G285" s="5"/>
      <c r="H285" s="1"/>
      <c r="I285" s="40"/>
      <c r="J285" s="8"/>
      <c r="K285" s="8"/>
      <c r="L285" s="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5"/>
      <c r="C286" s="1"/>
      <c r="D286" s="46"/>
      <c r="E286" s="1"/>
      <c r="F286" s="1"/>
      <c r="G286" s="5"/>
      <c r="H286" s="1"/>
      <c r="I286" s="40"/>
      <c r="J286" s="8"/>
      <c r="K286" s="8"/>
      <c r="L286" s="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5"/>
      <c r="C287" s="1"/>
      <c r="D287" s="46"/>
      <c r="E287" s="1"/>
      <c r="F287" s="1"/>
      <c r="G287" s="5"/>
      <c r="H287" s="1"/>
      <c r="I287" s="40"/>
      <c r="J287" s="8"/>
      <c r="K287" s="8"/>
      <c r="L287" s="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5"/>
      <c r="C288" s="1"/>
      <c r="D288" s="46"/>
      <c r="E288" s="1"/>
      <c r="F288" s="1"/>
      <c r="G288" s="5"/>
      <c r="H288" s="1"/>
      <c r="I288" s="40"/>
      <c r="J288" s="8"/>
      <c r="K288" s="8"/>
      <c r="L288" s="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5"/>
      <c r="C289" s="1"/>
      <c r="D289" s="46"/>
      <c r="E289" s="1"/>
      <c r="F289" s="1"/>
      <c r="G289" s="5"/>
      <c r="H289" s="1"/>
      <c r="I289" s="40"/>
      <c r="J289" s="8"/>
      <c r="K289" s="8"/>
      <c r="L289" s="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5"/>
      <c r="C290" s="1"/>
      <c r="D290" s="46"/>
      <c r="E290" s="1"/>
      <c r="F290" s="1"/>
      <c r="G290" s="5"/>
      <c r="H290" s="1"/>
      <c r="I290" s="40"/>
      <c r="J290" s="8"/>
      <c r="K290" s="8"/>
      <c r="L290" s="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5"/>
      <c r="C291" s="1"/>
      <c r="D291" s="46"/>
      <c r="E291" s="1"/>
      <c r="F291" s="1"/>
      <c r="G291" s="5"/>
      <c r="H291" s="1"/>
      <c r="I291" s="40"/>
      <c r="J291" s="8"/>
      <c r="K291" s="8"/>
      <c r="L291" s="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5"/>
      <c r="C292" s="1"/>
      <c r="D292" s="46"/>
      <c r="E292" s="1"/>
      <c r="F292" s="1"/>
      <c r="G292" s="5"/>
      <c r="H292" s="1"/>
      <c r="I292" s="40"/>
      <c r="J292" s="8"/>
      <c r="K292" s="8"/>
      <c r="L292" s="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5"/>
      <c r="C293" s="1"/>
      <c r="D293" s="46"/>
      <c r="E293" s="1"/>
      <c r="F293" s="1"/>
      <c r="G293" s="5"/>
      <c r="H293" s="1"/>
      <c r="I293" s="40"/>
      <c r="J293" s="8"/>
      <c r="K293" s="8"/>
      <c r="L293" s="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5"/>
      <c r="C294" s="1"/>
      <c r="D294" s="46"/>
      <c r="E294" s="1"/>
      <c r="F294" s="1"/>
      <c r="G294" s="5"/>
      <c r="H294" s="1"/>
      <c r="I294" s="40"/>
      <c r="J294" s="8"/>
      <c r="K294" s="8"/>
      <c r="L294" s="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5"/>
      <c r="C295" s="1"/>
      <c r="D295" s="46"/>
      <c r="E295" s="1"/>
      <c r="F295" s="1"/>
      <c r="G295" s="5"/>
      <c r="H295" s="1"/>
      <c r="I295" s="40"/>
      <c r="J295" s="8"/>
      <c r="K295" s="8"/>
      <c r="L295" s="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5"/>
      <c r="C296" s="1"/>
      <c r="D296" s="46"/>
      <c r="E296" s="1"/>
      <c r="F296" s="1"/>
      <c r="G296" s="5"/>
      <c r="H296" s="1"/>
      <c r="I296" s="40"/>
      <c r="J296" s="8"/>
      <c r="K296" s="8"/>
      <c r="L296" s="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5"/>
      <c r="C297" s="1"/>
      <c r="D297" s="46"/>
      <c r="E297" s="1"/>
      <c r="F297" s="1"/>
      <c r="G297" s="5"/>
      <c r="H297" s="1"/>
      <c r="I297" s="40"/>
      <c r="J297" s="8"/>
      <c r="K297" s="8"/>
      <c r="L297" s="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5"/>
      <c r="C298" s="1"/>
      <c r="D298" s="46"/>
      <c r="E298" s="1"/>
      <c r="F298" s="1"/>
      <c r="G298" s="5"/>
      <c r="H298" s="1"/>
      <c r="I298" s="40"/>
      <c r="J298" s="8"/>
      <c r="K298" s="8"/>
      <c r="L298" s="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5"/>
      <c r="C299" s="1"/>
      <c r="D299" s="46"/>
      <c r="E299" s="1"/>
      <c r="F299" s="1"/>
      <c r="G299" s="5"/>
      <c r="H299" s="1"/>
      <c r="I299" s="40"/>
      <c r="J299" s="8"/>
      <c r="K299" s="8"/>
      <c r="L299" s="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5"/>
      <c r="C300" s="1"/>
      <c r="D300" s="46"/>
      <c r="E300" s="1"/>
      <c r="F300" s="1"/>
      <c r="G300" s="5"/>
      <c r="H300" s="1"/>
      <c r="I300" s="40"/>
      <c r="J300" s="8"/>
      <c r="K300" s="8"/>
      <c r="L300" s="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5"/>
      <c r="C301" s="1"/>
      <c r="D301" s="46"/>
      <c r="E301" s="1"/>
      <c r="F301" s="1"/>
      <c r="G301" s="5"/>
      <c r="H301" s="1"/>
      <c r="I301" s="40"/>
      <c r="J301" s="8"/>
      <c r="K301" s="8"/>
      <c r="L301" s="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5"/>
      <c r="C302" s="1"/>
      <c r="D302" s="46"/>
      <c r="E302" s="1"/>
      <c r="F302" s="1"/>
      <c r="G302" s="5"/>
      <c r="H302" s="1"/>
      <c r="I302" s="40"/>
      <c r="J302" s="8"/>
      <c r="K302" s="8"/>
      <c r="L302" s="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5"/>
      <c r="C303" s="1"/>
      <c r="D303" s="46"/>
      <c r="E303" s="1"/>
      <c r="F303" s="1"/>
      <c r="G303" s="5"/>
      <c r="H303" s="1"/>
      <c r="I303" s="40"/>
      <c r="J303" s="8"/>
      <c r="K303" s="8"/>
      <c r="L303" s="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5"/>
      <c r="C304" s="1"/>
      <c r="D304" s="46"/>
      <c r="E304" s="1"/>
      <c r="F304" s="1"/>
      <c r="G304" s="5"/>
      <c r="H304" s="1"/>
      <c r="I304" s="40"/>
      <c r="J304" s="8"/>
      <c r="K304" s="8"/>
      <c r="L304" s="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5"/>
      <c r="C305" s="1"/>
      <c r="D305" s="46"/>
      <c r="E305" s="1"/>
      <c r="F305" s="1"/>
      <c r="G305" s="5"/>
      <c r="H305" s="1"/>
      <c r="I305" s="40"/>
      <c r="J305" s="8"/>
      <c r="K305" s="8"/>
      <c r="L305" s="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5"/>
      <c r="C306" s="1"/>
      <c r="D306" s="46"/>
      <c r="E306" s="1"/>
      <c r="F306" s="1"/>
      <c r="G306" s="5"/>
      <c r="H306" s="1"/>
      <c r="I306" s="40"/>
      <c r="J306" s="8"/>
      <c r="K306" s="8"/>
      <c r="L306" s="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5"/>
      <c r="C307" s="1"/>
      <c r="D307" s="46"/>
      <c r="E307" s="1"/>
      <c r="F307" s="1"/>
      <c r="G307" s="5"/>
      <c r="H307" s="1"/>
      <c r="I307" s="40"/>
      <c r="J307" s="8"/>
      <c r="K307" s="8"/>
      <c r="L307" s="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5"/>
      <c r="C308" s="1"/>
      <c r="D308" s="46"/>
      <c r="E308" s="1"/>
      <c r="F308" s="1"/>
      <c r="G308" s="5"/>
      <c r="H308" s="1"/>
      <c r="I308" s="40"/>
      <c r="J308" s="8"/>
      <c r="K308" s="8"/>
      <c r="L308" s="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5"/>
      <c r="C309" s="1"/>
      <c r="D309" s="46"/>
      <c r="E309" s="1"/>
      <c r="F309" s="1"/>
      <c r="G309" s="5"/>
      <c r="H309" s="1"/>
      <c r="I309" s="40"/>
      <c r="J309" s="8"/>
      <c r="K309" s="8"/>
      <c r="L309" s="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5"/>
      <c r="C310" s="1"/>
      <c r="D310" s="46"/>
      <c r="E310" s="1"/>
      <c r="F310" s="1"/>
      <c r="G310" s="5"/>
      <c r="H310" s="1"/>
      <c r="I310" s="40"/>
      <c r="J310" s="8"/>
      <c r="K310" s="8"/>
      <c r="L310" s="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5"/>
      <c r="C311" s="1"/>
      <c r="D311" s="46"/>
      <c r="E311" s="1"/>
      <c r="F311" s="1"/>
      <c r="G311" s="5"/>
      <c r="H311" s="1"/>
      <c r="I311" s="40"/>
      <c r="J311" s="8"/>
      <c r="K311" s="8"/>
      <c r="L311" s="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5"/>
      <c r="C312" s="1"/>
      <c r="D312" s="46"/>
      <c r="E312" s="1"/>
      <c r="F312" s="1"/>
      <c r="G312" s="5"/>
      <c r="H312" s="1"/>
      <c r="I312" s="40"/>
      <c r="J312" s="8"/>
      <c r="K312" s="8"/>
      <c r="L312" s="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5"/>
      <c r="C313" s="1"/>
      <c r="D313" s="46"/>
      <c r="E313" s="1"/>
      <c r="F313" s="1"/>
      <c r="G313" s="5"/>
      <c r="H313" s="1"/>
      <c r="I313" s="40"/>
      <c r="J313" s="8"/>
      <c r="K313" s="8"/>
      <c r="L313" s="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5"/>
      <c r="C314" s="1"/>
      <c r="D314" s="46"/>
      <c r="E314" s="1"/>
      <c r="F314" s="1"/>
      <c r="G314" s="5"/>
      <c r="H314" s="1"/>
      <c r="I314" s="40"/>
      <c r="J314" s="8"/>
      <c r="K314" s="8"/>
      <c r="L314" s="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5"/>
      <c r="C315" s="1"/>
      <c r="D315" s="46"/>
      <c r="E315" s="1"/>
      <c r="F315" s="1"/>
      <c r="G315" s="5"/>
      <c r="H315" s="1"/>
      <c r="I315" s="40"/>
      <c r="J315" s="8"/>
      <c r="K315" s="8"/>
      <c r="L315" s="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5"/>
      <c r="C316" s="1"/>
      <c r="D316" s="46"/>
      <c r="E316" s="1"/>
      <c r="F316" s="1"/>
      <c r="G316" s="5"/>
      <c r="H316" s="1"/>
      <c r="I316" s="40"/>
      <c r="J316" s="8"/>
      <c r="K316" s="8"/>
      <c r="L316" s="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5"/>
      <c r="C317" s="1"/>
      <c r="D317" s="46"/>
      <c r="E317" s="1"/>
      <c r="F317" s="1"/>
      <c r="G317" s="5"/>
      <c r="H317" s="1"/>
      <c r="I317" s="40"/>
      <c r="J317" s="8"/>
      <c r="K317" s="8"/>
      <c r="L317" s="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5"/>
      <c r="C318" s="1"/>
      <c r="D318" s="46"/>
      <c r="E318" s="1"/>
      <c r="F318" s="1"/>
      <c r="G318" s="5"/>
      <c r="H318" s="1"/>
      <c r="I318" s="40"/>
      <c r="J318" s="8"/>
      <c r="K318" s="8"/>
      <c r="L318" s="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5"/>
      <c r="C319" s="1"/>
      <c r="D319" s="46"/>
      <c r="E319" s="1"/>
      <c r="F319" s="1"/>
      <c r="G319" s="5"/>
      <c r="H319" s="1"/>
      <c r="I319" s="40"/>
      <c r="J319" s="8"/>
      <c r="K319" s="8"/>
      <c r="L319" s="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5"/>
      <c r="C320" s="1"/>
      <c r="D320" s="46"/>
      <c r="E320" s="1"/>
      <c r="F320" s="1"/>
      <c r="G320" s="5"/>
      <c r="H320" s="1"/>
      <c r="I320" s="40"/>
      <c r="J320" s="8"/>
      <c r="K320" s="8"/>
      <c r="L320" s="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5"/>
      <c r="C321" s="1"/>
      <c r="D321" s="46"/>
      <c r="E321" s="1"/>
      <c r="F321" s="1"/>
      <c r="G321" s="5"/>
      <c r="H321" s="1"/>
      <c r="I321" s="40"/>
      <c r="J321" s="8"/>
      <c r="K321" s="8"/>
      <c r="L321" s="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5"/>
      <c r="C322" s="1"/>
      <c r="D322" s="46"/>
      <c r="E322" s="1"/>
      <c r="F322" s="1"/>
      <c r="G322" s="5"/>
      <c r="H322" s="1"/>
      <c r="I322" s="40"/>
      <c r="J322" s="8"/>
      <c r="K322" s="8"/>
      <c r="L322" s="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5"/>
      <c r="C323" s="1"/>
      <c r="D323" s="46"/>
      <c r="E323" s="1"/>
      <c r="F323" s="1"/>
      <c r="G323" s="5"/>
      <c r="H323" s="1"/>
      <c r="I323" s="40"/>
      <c r="J323" s="8"/>
      <c r="K323" s="8"/>
      <c r="L323" s="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5"/>
      <c r="C324" s="1"/>
      <c r="D324" s="46"/>
      <c r="E324" s="1"/>
      <c r="F324" s="1"/>
      <c r="G324" s="5"/>
      <c r="H324" s="1"/>
      <c r="I324" s="40"/>
      <c r="J324" s="8"/>
      <c r="K324" s="8"/>
      <c r="L324" s="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5"/>
      <c r="C325" s="1"/>
      <c r="D325" s="46"/>
      <c r="E325" s="1"/>
      <c r="F325" s="1"/>
      <c r="G325" s="5"/>
      <c r="H325" s="1"/>
      <c r="I325" s="40"/>
      <c r="J325" s="8"/>
      <c r="K325" s="8"/>
      <c r="L325" s="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5"/>
      <c r="C326" s="1"/>
      <c r="D326" s="46"/>
      <c r="E326" s="1"/>
      <c r="F326" s="1"/>
      <c r="G326" s="5"/>
      <c r="H326" s="1"/>
      <c r="I326" s="40"/>
      <c r="J326" s="8"/>
      <c r="K326" s="8"/>
      <c r="L326" s="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5"/>
      <c r="C327" s="1"/>
      <c r="D327" s="46"/>
      <c r="E327" s="1"/>
      <c r="F327" s="1"/>
      <c r="G327" s="5"/>
      <c r="H327" s="1"/>
      <c r="I327" s="40"/>
      <c r="J327" s="8"/>
      <c r="K327" s="8"/>
      <c r="L327" s="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5"/>
      <c r="C328" s="1"/>
      <c r="D328" s="46"/>
      <c r="E328" s="1"/>
      <c r="F328" s="1"/>
      <c r="G328" s="5"/>
      <c r="H328" s="1"/>
      <c r="I328" s="40"/>
      <c r="J328" s="8"/>
      <c r="K328" s="8"/>
      <c r="L328" s="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5"/>
      <c r="C329" s="1"/>
      <c r="D329" s="46"/>
      <c r="E329" s="1"/>
      <c r="F329" s="1"/>
      <c r="G329" s="5"/>
      <c r="H329" s="1"/>
      <c r="I329" s="40"/>
      <c r="J329" s="8"/>
      <c r="K329" s="8"/>
      <c r="L329" s="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5"/>
      <c r="C330" s="1"/>
      <c r="D330" s="46"/>
      <c r="E330" s="1"/>
      <c r="F330" s="1"/>
      <c r="G330" s="5"/>
      <c r="H330" s="1"/>
      <c r="I330" s="40"/>
      <c r="J330" s="8"/>
      <c r="K330" s="8"/>
      <c r="L330" s="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5"/>
      <c r="C331" s="1"/>
      <c r="D331" s="46"/>
      <c r="E331" s="1"/>
      <c r="F331" s="1"/>
      <c r="G331" s="5"/>
      <c r="H331" s="1"/>
      <c r="I331" s="40"/>
      <c r="J331" s="8"/>
      <c r="K331" s="8"/>
      <c r="L331" s="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5"/>
      <c r="C332" s="1"/>
      <c r="D332" s="46"/>
      <c r="E332" s="1"/>
      <c r="F332" s="1"/>
      <c r="G332" s="5"/>
      <c r="H332" s="1"/>
      <c r="I332" s="40"/>
      <c r="J332" s="8"/>
      <c r="K332" s="8"/>
      <c r="L332" s="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5"/>
      <c r="C333" s="1"/>
      <c r="D333" s="46"/>
      <c r="E333" s="1"/>
      <c r="F333" s="1"/>
      <c r="G333" s="5"/>
      <c r="H333" s="1"/>
      <c r="I333" s="40"/>
      <c r="J333" s="8"/>
      <c r="K333" s="8"/>
      <c r="L333" s="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5"/>
      <c r="C334" s="1"/>
      <c r="D334" s="46"/>
      <c r="E334" s="1"/>
      <c r="F334" s="1"/>
      <c r="G334" s="5"/>
      <c r="H334" s="1"/>
      <c r="I334" s="40"/>
      <c r="J334" s="8"/>
      <c r="K334" s="8"/>
      <c r="L334" s="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5"/>
      <c r="C335" s="1"/>
      <c r="D335" s="46"/>
      <c r="E335" s="1"/>
      <c r="F335" s="1"/>
      <c r="G335" s="5"/>
      <c r="H335" s="1"/>
      <c r="I335" s="40"/>
      <c r="J335" s="8"/>
      <c r="K335" s="8"/>
      <c r="L335" s="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5"/>
      <c r="C336" s="1"/>
      <c r="D336" s="46"/>
      <c r="E336" s="1"/>
      <c r="F336" s="1"/>
      <c r="G336" s="5"/>
      <c r="H336" s="1"/>
      <c r="I336" s="40"/>
      <c r="J336" s="8"/>
      <c r="K336" s="8"/>
      <c r="L336" s="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5"/>
      <c r="C337" s="1"/>
      <c r="D337" s="46"/>
      <c r="E337" s="1"/>
      <c r="F337" s="1"/>
      <c r="G337" s="5"/>
      <c r="H337" s="1"/>
      <c r="I337" s="40"/>
      <c r="J337" s="8"/>
      <c r="K337" s="8"/>
      <c r="L337" s="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5"/>
      <c r="C338" s="1"/>
      <c r="D338" s="46"/>
      <c r="E338" s="1"/>
      <c r="F338" s="1"/>
      <c r="G338" s="5"/>
      <c r="H338" s="1"/>
      <c r="I338" s="40"/>
      <c r="J338" s="8"/>
      <c r="K338" s="8"/>
      <c r="L338" s="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5"/>
      <c r="C339" s="1"/>
      <c r="D339" s="46"/>
      <c r="E339" s="1"/>
      <c r="F339" s="1"/>
      <c r="G339" s="5"/>
      <c r="H339" s="1"/>
      <c r="I339" s="40"/>
      <c r="J339" s="8"/>
      <c r="K339" s="8"/>
      <c r="L339" s="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5"/>
      <c r="C340" s="1"/>
      <c r="D340" s="46"/>
      <c r="E340" s="1"/>
      <c r="F340" s="1"/>
      <c r="G340" s="5"/>
      <c r="H340" s="1"/>
      <c r="I340" s="40"/>
      <c r="J340" s="8"/>
      <c r="K340" s="8"/>
      <c r="L340" s="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5"/>
      <c r="C341" s="1"/>
      <c r="D341" s="46"/>
      <c r="E341" s="1"/>
      <c r="F341" s="1"/>
      <c r="G341" s="5"/>
      <c r="H341" s="1"/>
      <c r="I341" s="40"/>
      <c r="J341" s="8"/>
      <c r="K341" s="8"/>
      <c r="L341" s="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5"/>
      <c r="C342" s="1"/>
      <c r="D342" s="46"/>
      <c r="E342" s="1"/>
      <c r="F342" s="1"/>
      <c r="G342" s="5"/>
      <c r="H342" s="1"/>
      <c r="I342" s="40"/>
      <c r="J342" s="8"/>
      <c r="K342" s="8"/>
      <c r="L342" s="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5"/>
      <c r="C343" s="1"/>
      <c r="D343" s="46"/>
      <c r="E343" s="1"/>
      <c r="F343" s="1"/>
      <c r="G343" s="5"/>
      <c r="H343" s="1"/>
      <c r="I343" s="40"/>
      <c r="J343" s="8"/>
      <c r="K343" s="8"/>
      <c r="L343" s="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5"/>
      <c r="C344" s="1"/>
      <c r="D344" s="46"/>
      <c r="E344" s="1"/>
      <c r="F344" s="1"/>
      <c r="G344" s="5"/>
      <c r="H344" s="1"/>
      <c r="I344" s="40"/>
      <c r="J344" s="8"/>
      <c r="K344" s="8"/>
      <c r="L344" s="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5"/>
      <c r="C345" s="1"/>
      <c r="D345" s="46"/>
      <c r="E345" s="1"/>
      <c r="F345" s="1"/>
      <c r="G345" s="5"/>
      <c r="H345" s="1"/>
      <c r="I345" s="40"/>
      <c r="J345" s="8"/>
      <c r="K345" s="8"/>
      <c r="L345" s="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5"/>
      <c r="C346" s="1"/>
      <c r="D346" s="46"/>
      <c r="E346" s="1"/>
      <c r="F346" s="1"/>
      <c r="G346" s="5"/>
      <c r="H346" s="1"/>
      <c r="I346" s="40"/>
      <c r="J346" s="8"/>
      <c r="K346" s="8"/>
      <c r="L346" s="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5"/>
      <c r="C347" s="1"/>
      <c r="D347" s="46"/>
      <c r="E347" s="1"/>
      <c r="F347" s="1"/>
      <c r="G347" s="5"/>
      <c r="H347" s="1"/>
      <c r="I347" s="40"/>
      <c r="J347" s="8"/>
      <c r="K347" s="8"/>
      <c r="L347" s="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5"/>
      <c r="C348" s="1"/>
      <c r="D348" s="46"/>
      <c r="E348" s="1"/>
      <c r="F348" s="1"/>
      <c r="G348" s="5"/>
      <c r="H348" s="1"/>
      <c r="I348" s="40"/>
      <c r="J348" s="8"/>
      <c r="K348" s="8"/>
      <c r="L348" s="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5"/>
      <c r="C349" s="1"/>
      <c r="D349" s="46"/>
      <c r="E349" s="1"/>
      <c r="F349" s="1"/>
      <c r="G349" s="5"/>
      <c r="H349" s="1"/>
      <c r="I349" s="40"/>
      <c r="J349" s="8"/>
      <c r="K349" s="8"/>
      <c r="L349" s="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5"/>
      <c r="C350" s="1"/>
      <c r="D350" s="46"/>
      <c r="E350" s="1"/>
      <c r="F350" s="1"/>
      <c r="G350" s="5"/>
      <c r="H350" s="1"/>
      <c r="I350" s="40"/>
      <c r="J350" s="8"/>
      <c r="K350" s="8"/>
      <c r="L350" s="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5"/>
      <c r="C351" s="1"/>
      <c r="D351" s="46"/>
      <c r="E351" s="1"/>
      <c r="F351" s="1"/>
      <c r="G351" s="5"/>
      <c r="H351" s="1"/>
      <c r="I351" s="40"/>
      <c r="J351" s="8"/>
      <c r="K351" s="8"/>
      <c r="L351" s="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5"/>
      <c r="C352" s="1"/>
      <c r="D352" s="46"/>
      <c r="E352" s="1"/>
      <c r="F352" s="1"/>
      <c r="G352" s="5"/>
      <c r="H352" s="1"/>
      <c r="I352" s="40"/>
      <c r="J352" s="8"/>
      <c r="K352" s="8"/>
      <c r="L352" s="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5"/>
      <c r="C353" s="1"/>
      <c r="D353" s="46"/>
      <c r="E353" s="1"/>
      <c r="F353" s="1"/>
      <c r="G353" s="5"/>
      <c r="H353" s="1"/>
      <c r="I353" s="40"/>
      <c r="J353" s="8"/>
      <c r="K353" s="8"/>
      <c r="L353" s="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5"/>
      <c r="C354" s="1"/>
      <c r="D354" s="46"/>
      <c r="E354" s="1"/>
      <c r="F354" s="1"/>
      <c r="G354" s="5"/>
      <c r="H354" s="1"/>
      <c r="I354" s="40"/>
      <c r="J354" s="8"/>
      <c r="K354" s="8"/>
      <c r="L354" s="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5"/>
      <c r="C355" s="1"/>
      <c r="D355" s="46"/>
      <c r="E355" s="1"/>
      <c r="F355" s="1"/>
      <c r="G355" s="5"/>
      <c r="H355" s="1"/>
      <c r="I355" s="40"/>
      <c r="J355" s="8"/>
      <c r="K355" s="8"/>
      <c r="L355" s="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5"/>
      <c r="C356" s="1"/>
      <c r="D356" s="46"/>
      <c r="E356" s="1"/>
      <c r="F356" s="1"/>
      <c r="G356" s="5"/>
      <c r="H356" s="1"/>
      <c r="I356" s="40"/>
      <c r="J356" s="8"/>
      <c r="K356" s="8"/>
      <c r="L356" s="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5"/>
      <c r="C357" s="1"/>
      <c r="D357" s="46"/>
      <c r="E357" s="1"/>
      <c r="F357" s="1"/>
      <c r="G357" s="5"/>
      <c r="H357" s="1"/>
      <c r="I357" s="40"/>
      <c r="J357" s="8"/>
      <c r="K357" s="8"/>
      <c r="L357" s="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5"/>
      <c r="C358" s="1"/>
      <c r="D358" s="46"/>
      <c r="E358" s="1"/>
      <c r="F358" s="1"/>
      <c r="G358" s="5"/>
      <c r="H358" s="1"/>
      <c r="I358" s="40"/>
      <c r="J358" s="8"/>
      <c r="K358" s="8"/>
      <c r="L358" s="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5"/>
      <c r="C359" s="1"/>
      <c r="D359" s="46"/>
      <c r="E359" s="1"/>
      <c r="F359" s="1"/>
      <c r="G359" s="5"/>
      <c r="H359" s="1"/>
      <c r="I359" s="40"/>
      <c r="J359" s="8"/>
      <c r="K359" s="8"/>
      <c r="L359" s="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5"/>
      <c r="C360" s="1"/>
      <c r="D360" s="46"/>
      <c r="E360" s="1"/>
      <c r="F360" s="1"/>
      <c r="G360" s="5"/>
      <c r="H360" s="1"/>
      <c r="I360" s="40"/>
      <c r="J360" s="8"/>
      <c r="K360" s="8"/>
      <c r="L360" s="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5"/>
      <c r="C361" s="1"/>
      <c r="D361" s="46"/>
      <c r="E361" s="1"/>
      <c r="F361" s="1"/>
      <c r="G361" s="5"/>
      <c r="H361" s="1"/>
      <c r="I361" s="40"/>
      <c r="J361" s="8"/>
      <c r="K361" s="8"/>
      <c r="L361" s="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5"/>
      <c r="C362" s="1"/>
      <c r="D362" s="46"/>
      <c r="E362" s="1"/>
      <c r="F362" s="1"/>
      <c r="G362" s="5"/>
      <c r="H362" s="1"/>
      <c r="I362" s="40"/>
      <c r="J362" s="8"/>
      <c r="K362" s="8"/>
      <c r="L362" s="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5"/>
      <c r="C363" s="1"/>
      <c r="D363" s="46"/>
      <c r="E363" s="1"/>
      <c r="F363" s="1"/>
      <c r="G363" s="5"/>
      <c r="H363" s="1"/>
      <c r="I363" s="40"/>
      <c r="J363" s="8"/>
      <c r="K363" s="8"/>
      <c r="L363" s="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5"/>
      <c r="C364" s="1"/>
      <c r="D364" s="46"/>
      <c r="E364" s="1"/>
      <c r="F364" s="1"/>
      <c r="G364" s="5"/>
      <c r="H364" s="1"/>
      <c r="I364" s="40"/>
      <c r="J364" s="8"/>
      <c r="K364" s="8"/>
      <c r="L364" s="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5"/>
      <c r="C365" s="1"/>
      <c r="D365" s="46"/>
      <c r="E365" s="1"/>
      <c r="F365" s="1"/>
      <c r="G365" s="5"/>
      <c r="H365" s="1"/>
      <c r="I365" s="40"/>
      <c r="J365" s="8"/>
      <c r="K365" s="8"/>
      <c r="L365" s="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5"/>
      <c r="C366" s="1"/>
      <c r="D366" s="46"/>
      <c r="E366" s="1"/>
      <c r="F366" s="1"/>
      <c r="G366" s="5"/>
      <c r="H366" s="1"/>
      <c r="I366" s="40"/>
      <c r="J366" s="8"/>
      <c r="K366" s="8"/>
      <c r="L366" s="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5"/>
      <c r="C367" s="1"/>
      <c r="D367" s="46"/>
      <c r="E367" s="1"/>
      <c r="F367" s="1"/>
      <c r="G367" s="5"/>
      <c r="H367" s="1"/>
      <c r="I367" s="40"/>
      <c r="J367" s="8"/>
      <c r="K367" s="8"/>
      <c r="L367" s="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5"/>
      <c r="C368" s="1"/>
      <c r="D368" s="46"/>
      <c r="E368" s="1"/>
      <c r="F368" s="1"/>
      <c r="G368" s="5"/>
      <c r="H368" s="1"/>
      <c r="I368" s="40"/>
      <c r="J368" s="8"/>
      <c r="K368" s="8"/>
      <c r="L368" s="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5"/>
      <c r="C369" s="1"/>
      <c r="D369" s="46"/>
      <c r="E369" s="1"/>
      <c r="F369" s="1"/>
      <c r="G369" s="5"/>
      <c r="H369" s="1"/>
      <c r="I369" s="40"/>
      <c r="J369" s="8"/>
      <c r="K369" s="8"/>
      <c r="L369" s="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5"/>
      <c r="C370" s="1"/>
      <c r="D370" s="46"/>
      <c r="E370" s="1"/>
      <c r="F370" s="1"/>
      <c r="G370" s="5"/>
      <c r="H370" s="1"/>
      <c r="I370" s="40"/>
      <c r="J370" s="8"/>
      <c r="K370" s="8"/>
      <c r="L370" s="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5"/>
      <c r="C371" s="1"/>
      <c r="D371" s="46"/>
      <c r="E371" s="1"/>
      <c r="F371" s="1"/>
      <c r="G371" s="5"/>
      <c r="H371" s="1"/>
      <c r="I371" s="40"/>
      <c r="J371" s="8"/>
      <c r="K371" s="8"/>
      <c r="L371" s="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5"/>
      <c r="C372" s="1"/>
      <c r="D372" s="46"/>
      <c r="E372" s="1"/>
      <c r="F372" s="1"/>
      <c r="G372" s="5"/>
      <c r="H372" s="1"/>
      <c r="I372" s="40"/>
      <c r="J372" s="8"/>
      <c r="K372" s="8"/>
      <c r="L372" s="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5"/>
      <c r="C373" s="1"/>
      <c r="D373" s="46"/>
      <c r="E373" s="1"/>
      <c r="F373" s="1"/>
      <c r="G373" s="5"/>
      <c r="H373" s="1"/>
      <c r="I373" s="40"/>
      <c r="J373" s="8"/>
      <c r="K373" s="8"/>
      <c r="L373" s="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5"/>
      <c r="C374" s="1"/>
      <c r="D374" s="46"/>
      <c r="E374" s="1"/>
      <c r="F374" s="1"/>
      <c r="G374" s="5"/>
      <c r="H374" s="1"/>
      <c r="I374" s="40"/>
      <c r="J374" s="8"/>
      <c r="K374" s="8"/>
      <c r="L374" s="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5"/>
      <c r="C375" s="1"/>
      <c r="D375" s="46"/>
      <c r="E375" s="1"/>
      <c r="F375" s="1"/>
      <c r="G375" s="5"/>
      <c r="H375" s="1"/>
      <c r="I375" s="40"/>
      <c r="J375" s="8"/>
      <c r="K375" s="8"/>
      <c r="L375" s="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5"/>
      <c r="C376" s="1"/>
      <c r="D376" s="46"/>
      <c r="E376" s="1"/>
      <c r="F376" s="1"/>
      <c r="G376" s="5"/>
      <c r="H376" s="1"/>
      <c r="I376" s="40"/>
      <c r="J376" s="8"/>
      <c r="K376" s="8"/>
      <c r="L376" s="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5"/>
      <c r="C377" s="1"/>
      <c r="D377" s="46"/>
      <c r="E377" s="1"/>
      <c r="F377" s="1"/>
      <c r="G377" s="5"/>
      <c r="H377" s="1"/>
      <c r="I377" s="40"/>
      <c r="J377" s="8"/>
      <c r="K377" s="8"/>
      <c r="L377" s="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5"/>
      <c r="C378" s="1"/>
      <c r="D378" s="46"/>
      <c r="E378" s="1"/>
      <c r="F378" s="1"/>
      <c r="G378" s="5"/>
      <c r="H378" s="1"/>
      <c r="I378" s="40"/>
      <c r="J378" s="8"/>
      <c r="K378" s="8"/>
      <c r="L378" s="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5"/>
      <c r="C379" s="1"/>
      <c r="D379" s="46"/>
      <c r="E379" s="1"/>
      <c r="F379" s="1"/>
      <c r="G379" s="5"/>
      <c r="H379" s="1"/>
      <c r="I379" s="40"/>
      <c r="J379" s="8"/>
      <c r="K379" s="8"/>
      <c r="L379" s="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5"/>
      <c r="C380" s="1"/>
      <c r="D380" s="46"/>
      <c r="E380" s="1"/>
      <c r="F380" s="1"/>
      <c r="G380" s="5"/>
      <c r="H380" s="1"/>
      <c r="I380" s="40"/>
      <c r="J380" s="8"/>
      <c r="K380" s="8"/>
      <c r="L380" s="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5"/>
      <c r="C381" s="1"/>
      <c r="D381" s="46"/>
      <c r="E381" s="1"/>
      <c r="F381" s="1"/>
      <c r="G381" s="5"/>
      <c r="H381" s="1"/>
      <c r="I381" s="40"/>
      <c r="J381" s="8"/>
      <c r="K381" s="8"/>
      <c r="L381" s="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5"/>
      <c r="C382" s="1"/>
      <c r="D382" s="46"/>
      <c r="E382" s="1"/>
      <c r="F382" s="1"/>
      <c r="G382" s="5"/>
      <c r="H382" s="1"/>
      <c r="I382" s="40"/>
      <c r="J382" s="8"/>
      <c r="K382" s="8"/>
      <c r="L382" s="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5"/>
      <c r="C383" s="1"/>
      <c r="D383" s="46"/>
      <c r="E383" s="1"/>
      <c r="F383" s="1"/>
      <c r="G383" s="5"/>
      <c r="H383" s="1"/>
      <c r="I383" s="40"/>
      <c r="J383" s="8"/>
      <c r="K383" s="8"/>
      <c r="L383" s="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5"/>
      <c r="C384" s="1"/>
      <c r="D384" s="46"/>
      <c r="E384" s="1"/>
      <c r="F384" s="1"/>
      <c r="G384" s="5"/>
      <c r="H384" s="1"/>
      <c r="I384" s="40"/>
      <c r="J384" s="8"/>
      <c r="K384" s="8"/>
      <c r="L384" s="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5"/>
      <c r="C385" s="1"/>
      <c r="D385" s="46"/>
      <c r="E385" s="1"/>
      <c r="F385" s="1"/>
      <c r="G385" s="5"/>
      <c r="H385" s="1"/>
      <c r="I385" s="40"/>
      <c r="J385" s="8"/>
      <c r="K385" s="8"/>
      <c r="L385" s="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5"/>
      <c r="C386" s="1"/>
      <c r="D386" s="46"/>
      <c r="E386" s="1"/>
      <c r="F386" s="1"/>
      <c r="G386" s="5"/>
      <c r="H386" s="1"/>
      <c r="I386" s="40"/>
      <c r="J386" s="8"/>
      <c r="K386" s="8"/>
      <c r="L386" s="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5"/>
      <c r="C387" s="1"/>
      <c r="D387" s="46"/>
      <c r="E387" s="1"/>
      <c r="F387" s="1"/>
      <c r="G387" s="5"/>
      <c r="H387" s="1"/>
      <c r="I387" s="40"/>
      <c r="J387" s="8"/>
      <c r="K387" s="8"/>
      <c r="L387" s="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5"/>
      <c r="C388" s="1"/>
      <c r="D388" s="46"/>
      <c r="E388" s="1"/>
      <c r="F388" s="1"/>
      <c r="G388" s="5"/>
      <c r="H388" s="1"/>
      <c r="I388" s="40"/>
      <c r="J388" s="8"/>
      <c r="K388" s="8"/>
      <c r="L388" s="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5"/>
      <c r="C389" s="1"/>
      <c r="D389" s="46"/>
      <c r="E389" s="1"/>
      <c r="F389" s="1"/>
      <c r="G389" s="5"/>
      <c r="H389" s="1"/>
      <c r="I389" s="40"/>
      <c r="J389" s="8"/>
      <c r="K389" s="8"/>
      <c r="L389" s="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5"/>
      <c r="C390" s="1"/>
      <c r="D390" s="46"/>
      <c r="E390" s="1"/>
      <c r="F390" s="1"/>
      <c r="G390" s="5"/>
      <c r="H390" s="1"/>
      <c r="I390" s="40"/>
      <c r="J390" s="8"/>
      <c r="K390" s="8"/>
      <c r="L390" s="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5"/>
      <c r="C391" s="1"/>
      <c r="D391" s="46"/>
      <c r="E391" s="1"/>
      <c r="F391" s="1"/>
      <c r="G391" s="5"/>
      <c r="H391" s="1"/>
      <c r="I391" s="40"/>
      <c r="J391" s="8"/>
      <c r="K391" s="8"/>
      <c r="L391" s="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5"/>
      <c r="C392" s="1"/>
      <c r="D392" s="46"/>
      <c r="E392" s="1"/>
      <c r="F392" s="1"/>
      <c r="G392" s="5"/>
      <c r="H392" s="1"/>
      <c r="I392" s="40"/>
      <c r="J392" s="8"/>
      <c r="K392" s="8"/>
      <c r="L392" s="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5"/>
      <c r="C393" s="1"/>
      <c r="D393" s="46"/>
      <c r="E393" s="1"/>
      <c r="F393" s="1"/>
      <c r="G393" s="5"/>
      <c r="H393" s="1"/>
      <c r="I393" s="40"/>
      <c r="J393" s="8"/>
      <c r="K393" s="8"/>
      <c r="L393" s="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5"/>
      <c r="C394" s="1"/>
      <c r="D394" s="46"/>
      <c r="E394" s="1"/>
      <c r="F394" s="1"/>
      <c r="G394" s="5"/>
      <c r="H394" s="1"/>
      <c r="I394" s="40"/>
      <c r="J394" s="8"/>
      <c r="K394" s="8"/>
      <c r="L394" s="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5"/>
      <c r="C395" s="1"/>
      <c r="D395" s="46"/>
      <c r="E395" s="1"/>
      <c r="F395" s="1"/>
      <c r="G395" s="5"/>
      <c r="H395" s="1"/>
      <c r="I395" s="40"/>
      <c r="J395" s="8"/>
      <c r="K395" s="8"/>
      <c r="L395" s="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5"/>
      <c r="C396" s="1"/>
      <c r="D396" s="46"/>
      <c r="E396" s="1"/>
      <c r="F396" s="1"/>
      <c r="G396" s="5"/>
      <c r="H396" s="1"/>
      <c r="I396" s="40"/>
      <c r="J396" s="8"/>
      <c r="K396" s="8"/>
      <c r="L396" s="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5"/>
      <c r="C397" s="1"/>
      <c r="D397" s="46"/>
      <c r="E397" s="1"/>
      <c r="F397" s="1"/>
      <c r="G397" s="5"/>
      <c r="H397" s="1"/>
      <c r="I397" s="40"/>
      <c r="J397" s="8"/>
      <c r="K397" s="8"/>
      <c r="L397" s="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5"/>
      <c r="C398" s="1"/>
      <c r="D398" s="46"/>
      <c r="E398" s="1"/>
      <c r="F398" s="1"/>
      <c r="G398" s="5"/>
      <c r="H398" s="1"/>
      <c r="I398" s="40"/>
      <c r="J398" s="8"/>
      <c r="K398" s="8"/>
      <c r="L398" s="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5"/>
      <c r="C399" s="1"/>
      <c r="D399" s="46"/>
      <c r="E399" s="1"/>
      <c r="F399" s="1"/>
      <c r="G399" s="5"/>
      <c r="H399" s="1"/>
      <c r="I399" s="40"/>
      <c r="J399" s="8"/>
      <c r="K399" s="8"/>
      <c r="L399" s="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5"/>
      <c r="C400" s="1"/>
      <c r="D400" s="46"/>
      <c r="E400" s="1"/>
      <c r="F400" s="1"/>
      <c r="G400" s="5"/>
      <c r="H400" s="1"/>
      <c r="I400" s="40"/>
      <c r="J400" s="8"/>
      <c r="K400" s="8"/>
      <c r="L400" s="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5"/>
      <c r="C401" s="1"/>
      <c r="D401" s="46"/>
      <c r="E401" s="1"/>
      <c r="F401" s="1"/>
      <c r="G401" s="5"/>
      <c r="H401" s="1"/>
      <c r="I401" s="40"/>
      <c r="J401" s="8"/>
      <c r="K401" s="8"/>
      <c r="L401" s="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5"/>
      <c r="C402" s="1"/>
      <c r="D402" s="46"/>
      <c r="E402" s="1"/>
      <c r="F402" s="1"/>
      <c r="G402" s="5"/>
      <c r="H402" s="1"/>
      <c r="I402" s="40"/>
      <c r="J402" s="8"/>
      <c r="K402" s="8"/>
      <c r="L402" s="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5"/>
      <c r="C403" s="1"/>
      <c r="D403" s="46"/>
      <c r="E403" s="1"/>
      <c r="F403" s="1"/>
      <c r="G403" s="5"/>
      <c r="H403" s="1"/>
      <c r="I403" s="40"/>
      <c r="J403" s="8"/>
      <c r="K403" s="8"/>
      <c r="L403" s="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5"/>
      <c r="C404" s="1"/>
      <c r="D404" s="46"/>
      <c r="E404" s="1"/>
      <c r="F404" s="1"/>
      <c r="G404" s="5"/>
      <c r="H404" s="1"/>
      <c r="I404" s="40"/>
      <c r="J404" s="8"/>
      <c r="K404" s="8"/>
      <c r="L404" s="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5"/>
      <c r="C405" s="1"/>
      <c r="D405" s="46"/>
      <c r="E405" s="1"/>
      <c r="F405" s="1"/>
      <c r="G405" s="5"/>
      <c r="H405" s="1"/>
      <c r="I405" s="40"/>
      <c r="J405" s="8"/>
      <c r="K405" s="8"/>
      <c r="L405" s="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5"/>
      <c r="C406" s="1"/>
      <c r="D406" s="46"/>
      <c r="E406" s="1"/>
      <c r="F406" s="1"/>
      <c r="G406" s="5"/>
      <c r="H406" s="1"/>
      <c r="I406" s="40"/>
      <c r="J406" s="8"/>
      <c r="K406" s="8"/>
      <c r="L406" s="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5"/>
      <c r="C407" s="1"/>
      <c r="D407" s="46"/>
      <c r="E407" s="1"/>
      <c r="F407" s="1"/>
      <c r="G407" s="5"/>
      <c r="H407" s="1"/>
      <c r="I407" s="40"/>
      <c r="J407" s="8"/>
      <c r="K407" s="8"/>
      <c r="L407" s="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5"/>
      <c r="C408" s="1"/>
      <c r="D408" s="46"/>
      <c r="E408" s="1"/>
      <c r="F408" s="1"/>
      <c r="G408" s="5"/>
      <c r="H408" s="1"/>
      <c r="I408" s="40"/>
      <c r="J408" s="8"/>
      <c r="K408" s="8"/>
      <c r="L408" s="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5"/>
      <c r="C409" s="1"/>
      <c r="D409" s="46"/>
      <c r="E409" s="1"/>
      <c r="F409" s="1"/>
      <c r="G409" s="5"/>
      <c r="H409" s="1"/>
      <c r="I409" s="40"/>
      <c r="J409" s="8"/>
      <c r="K409" s="8"/>
      <c r="L409" s="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5"/>
      <c r="C410" s="1"/>
      <c r="D410" s="46"/>
      <c r="E410" s="1"/>
      <c r="F410" s="1"/>
      <c r="G410" s="5"/>
      <c r="H410" s="1"/>
      <c r="I410" s="40"/>
      <c r="J410" s="8"/>
      <c r="K410" s="8"/>
      <c r="L410" s="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5"/>
      <c r="C411" s="1"/>
      <c r="D411" s="46"/>
      <c r="E411" s="1"/>
      <c r="F411" s="1"/>
      <c r="G411" s="5"/>
      <c r="H411" s="1"/>
      <c r="I411" s="40"/>
      <c r="J411" s="8"/>
      <c r="K411" s="8"/>
      <c r="L411" s="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5"/>
      <c r="C412" s="1"/>
      <c r="D412" s="46"/>
      <c r="E412" s="1"/>
      <c r="F412" s="1"/>
      <c r="G412" s="5"/>
      <c r="H412" s="1"/>
      <c r="I412" s="40"/>
      <c r="J412" s="8"/>
      <c r="K412" s="8"/>
      <c r="L412" s="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5"/>
      <c r="C413" s="1"/>
      <c r="D413" s="46"/>
      <c r="E413" s="1"/>
      <c r="F413" s="1"/>
      <c r="G413" s="5"/>
      <c r="H413" s="1"/>
      <c r="I413" s="40"/>
      <c r="J413" s="8"/>
      <c r="K413" s="8"/>
      <c r="L413" s="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5"/>
      <c r="C414" s="1"/>
      <c r="D414" s="46"/>
      <c r="E414" s="1"/>
      <c r="F414" s="1"/>
      <c r="G414" s="5"/>
      <c r="H414" s="1"/>
      <c r="I414" s="40"/>
      <c r="J414" s="8"/>
      <c r="K414" s="8"/>
      <c r="L414" s="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5"/>
      <c r="C415" s="1"/>
      <c r="D415" s="46"/>
      <c r="E415" s="1"/>
      <c r="F415" s="1"/>
      <c r="G415" s="5"/>
      <c r="H415" s="1"/>
      <c r="I415" s="40"/>
      <c r="J415" s="8"/>
      <c r="K415" s="8"/>
      <c r="L415" s="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5"/>
      <c r="C416" s="1"/>
      <c r="D416" s="46"/>
      <c r="E416" s="1"/>
      <c r="F416" s="1"/>
      <c r="G416" s="5"/>
      <c r="H416" s="1"/>
      <c r="I416" s="40"/>
      <c r="J416" s="8"/>
      <c r="K416" s="8"/>
      <c r="L416" s="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5"/>
      <c r="C417" s="1"/>
      <c r="D417" s="46"/>
      <c r="E417" s="1"/>
      <c r="F417" s="1"/>
      <c r="G417" s="5"/>
      <c r="H417" s="1"/>
      <c r="I417" s="40"/>
      <c r="J417" s="8"/>
      <c r="K417" s="8"/>
      <c r="L417" s="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5"/>
      <c r="C418" s="1"/>
      <c r="D418" s="46"/>
      <c r="E418" s="1"/>
      <c r="F418" s="1"/>
      <c r="G418" s="5"/>
      <c r="H418" s="1"/>
      <c r="I418" s="40"/>
      <c r="J418" s="8"/>
      <c r="K418" s="8"/>
      <c r="L418" s="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5"/>
      <c r="C419" s="1"/>
      <c r="D419" s="46"/>
      <c r="E419" s="1"/>
      <c r="F419" s="1"/>
      <c r="G419" s="5"/>
      <c r="H419" s="1"/>
      <c r="I419" s="40"/>
      <c r="J419" s="8"/>
      <c r="K419" s="8"/>
      <c r="L419" s="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5"/>
      <c r="C420" s="1"/>
      <c r="D420" s="46"/>
      <c r="E420" s="1"/>
      <c r="F420" s="1"/>
      <c r="G420" s="5"/>
      <c r="H420" s="1"/>
      <c r="I420" s="40"/>
      <c r="J420" s="8"/>
      <c r="K420" s="8"/>
      <c r="L420" s="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5"/>
      <c r="C421" s="1"/>
      <c r="D421" s="46"/>
      <c r="E421" s="1"/>
      <c r="F421" s="1"/>
      <c r="G421" s="5"/>
      <c r="H421" s="1"/>
      <c r="I421" s="40"/>
      <c r="J421" s="8"/>
      <c r="K421" s="8"/>
      <c r="L421" s="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5"/>
      <c r="C422" s="1"/>
      <c r="D422" s="46"/>
      <c r="E422" s="1"/>
      <c r="F422" s="1"/>
      <c r="G422" s="5"/>
      <c r="H422" s="1"/>
      <c r="I422" s="40"/>
      <c r="J422" s="8"/>
      <c r="K422" s="8"/>
      <c r="L422" s="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5"/>
      <c r="C423" s="1"/>
      <c r="D423" s="46"/>
      <c r="E423" s="1"/>
      <c r="F423" s="1"/>
      <c r="G423" s="5"/>
      <c r="H423" s="1"/>
      <c r="I423" s="40"/>
      <c r="J423" s="8"/>
      <c r="K423" s="8"/>
      <c r="L423" s="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5"/>
      <c r="C424" s="1"/>
      <c r="D424" s="46"/>
      <c r="E424" s="1"/>
      <c r="F424" s="1"/>
      <c r="G424" s="5"/>
      <c r="H424" s="1"/>
      <c r="I424" s="40"/>
      <c r="J424" s="8"/>
      <c r="K424" s="8"/>
      <c r="L424" s="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5"/>
      <c r="C425" s="1"/>
      <c r="D425" s="46"/>
      <c r="E425" s="1"/>
      <c r="F425" s="1"/>
      <c r="G425" s="5"/>
      <c r="H425" s="1"/>
      <c r="I425" s="40"/>
      <c r="J425" s="8"/>
      <c r="K425" s="8"/>
      <c r="L425" s="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5"/>
      <c r="C426" s="1"/>
      <c r="D426" s="46"/>
      <c r="E426" s="1"/>
      <c r="F426" s="1"/>
      <c r="G426" s="5"/>
      <c r="H426" s="1"/>
      <c r="I426" s="40"/>
      <c r="J426" s="8"/>
      <c r="K426" s="8"/>
      <c r="L426" s="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5"/>
      <c r="C427" s="1"/>
      <c r="D427" s="46"/>
      <c r="E427" s="1"/>
      <c r="F427" s="1"/>
      <c r="G427" s="5"/>
      <c r="H427" s="1"/>
      <c r="I427" s="40"/>
      <c r="J427" s="8"/>
      <c r="K427" s="8"/>
      <c r="L427" s="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5"/>
      <c r="C428" s="1"/>
      <c r="D428" s="46"/>
      <c r="E428" s="1"/>
      <c r="F428" s="1"/>
      <c r="G428" s="5"/>
      <c r="H428" s="1"/>
      <c r="I428" s="40"/>
      <c r="J428" s="8"/>
      <c r="K428" s="8"/>
      <c r="L428" s="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5"/>
      <c r="C429" s="1"/>
      <c r="D429" s="46"/>
      <c r="E429" s="1"/>
      <c r="F429" s="1"/>
      <c r="G429" s="5"/>
      <c r="H429" s="1"/>
      <c r="I429" s="40"/>
      <c r="J429" s="8"/>
      <c r="K429" s="8"/>
      <c r="L429" s="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5"/>
      <c r="C430" s="1"/>
      <c r="D430" s="46"/>
      <c r="E430" s="1"/>
      <c r="F430" s="1"/>
      <c r="G430" s="5"/>
      <c r="H430" s="1"/>
      <c r="I430" s="40"/>
      <c r="J430" s="8"/>
      <c r="K430" s="8"/>
      <c r="L430" s="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5"/>
      <c r="C431" s="1"/>
      <c r="D431" s="46"/>
      <c r="E431" s="1"/>
      <c r="F431" s="1"/>
      <c r="G431" s="5"/>
      <c r="H431" s="1"/>
      <c r="I431" s="40"/>
      <c r="J431" s="8"/>
      <c r="K431" s="8"/>
      <c r="L431" s="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5"/>
      <c r="C432" s="1"/>
      <c r="D432" s="46"/>
      <c r="E432" s="1"/>
      <c r="F432" s="1"/>
      <c r="G432" s="5"/>
      <c r="H432" s="1"/>
      <c r="I432" s="40"/>
      <c r="J432" s="8"/>
      <c r="K432" s="8"/>
      <c r="L432" s="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5"/>
      <c r="C433" s="1"/>
      <c r="D433" s="46"/>
      <c r="E433" s="1"/>
      <c r="F433" s="1"/>
      <c r="G433" s="5"/>
      <c r="H433" s="1"/>
      <c r="I433" s="40"/>
      <c r="J433" s="8"/>
      <c r="K433" s="8"/>
      <c r="L433" s="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5"/>
      <c r="C434" s="1"/>
      <c r="D434" s="46"/>
      <c r="E434" s="1"/>
      <c r="F434" s="1"/>
      <c r="G434" s="5"/>
      <c r="H434" s="1"/>
      <c r="I434" s="40"/>
      <c r="J434" s="8"/>
      <c r="K434" s="8"/>
      <c r="L434" s="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5"/>
      <c r="C435" s="1"/>
      <c r="D435" s="46"/>
      <c r="E435" s="1"/>
      <c r="F435" s="1"/>
      <c r="G435" s="5"/>
      <c r="H435" s="1"/>
      <c r="I435" s="40"/>
      <c r="J435" s="8"/>
      <c r="K435" s="8"/>
      <c r="L435" s="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5"/>
      <c r="C436" s="1"/>
      <c r="D436" s="46"/>
      <c r="E436" s="1"/>
      <c r="F436" s="1"/>
      <c r="G436" s="5"/>
      <c r="H436" s="1"/>
      <c r="I436" s="40"/>
      <c r="J436" s="8"/>
      <c r="K436" s="8"/>
      <c r="L436" s="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5"/>
      <c r="C437" s="1"/>
      <c r="D437" s="46"/>
      <c r="E437" s="1"/>
      <c r="F437" s="1"/>
      <c r="G437" s="5"/>
      <c r="H437" s="1"/>
      <c r="I437" s="40"/>
      <c r="J437" s="8"/>
      <c r="K437" s="8"/>
      <c r="L437" s="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5"/>
      <c r="C438" s="1"/>
      <c r="D438" s="46"/>
      <c r="E438" s="1"/>
      <c r="F438" s="1"/>
      <c r="G438" s="5"/>
      <c r="H438" s="1"/>
      <c r="I438" s="40"/>
      <c r="J438" s="8"/>
      <c r="K438" s="8"/>
      <c r="L438" s="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5"/>
      <c r="C439" s="1"/>
      <c r="D439" s="46"/>
      <c r="E439" s="1"/>
      <c r="F439" s="1"/>
      <c r="G439" s="5"/>
      <c r="H439" s="1"/>
      <c r="I439" s="40"/>
      <c r="J439" s="8"/>
      <c r="K439" s="8"/>
      <c r="L439" s="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5"/>
      <c r="C440" s="1"/>
      <c r="D440" s="46"/>
      <c r="E440" s="1"/>
      <c r="F440" s="1"/>
      <c r="G440" s="5"/>
      <c r="H440" s="1"/>
      <c r="I440" s="40"/>
      <c r="J440" s="8"/>
      <c r="K440" s="8"/>
      <c r="L440" s="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5"/>
      <c r="C441" s="1"/>
      <c r="D441" s="46"/>
      <c r="E441" s="1"/>
      <c r="F441" s="1"/>
      <c r="G441" s="5"/>
      <c r="H441" s="1"/>
      <c r="I441" s="40"/>
      <c r="J441" s="8"/>
      <c r="K441" s="8"/>
      <c r="L441" s="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5"/>
      <c r="C442" s="1"/>
      <c r="D442" s="46"/>
      <c r="E442" s="1"/>
      <c r="F442" s="1"/>
      <c r="G442" s="5"/>
      <c r="H442" s="1"/>
      <c r="I442" s="40"/>
      <c r="J442" s="8"/>
      <c r="K442" s="8"/>
      <c r="L442" s="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5"/>
      <c r="C443" s="1"/>
      <c r="D443" s="46"/>
      <c r="E443" s="1"/>
      <c r="F443" s="1"/>
      <c r="G443" s="5"/>
      <c r="H443" s="1"/>
      <c r="I443" s="40"/>
      <c r="J443" s="8"/>
      <c r="K443" s="8"/>
      <c r="L443" s="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5"/>
      <c r="C444" s="1"/>
      <c r="D444" s="46"/>
      <c r="E444" s="1"/>
      <c r="F444" s="1"/>
      <c r="G444" s="5"/>
      <c r="H444" s="1"/>
      <c r="I444" s="40"/>
      <c r="J444" s="8"/>
      <c r="K444" s="8"/>
      <c r="L444" s="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5"/>
      <c r="C445" s="1"/>
      <c r="D445" s="46"/>
      <c r="E445" s="1"/>
      <c r="F445" s="1"/>
      <c r="G445" s="5"/>
      <c r="H445" s="1"/>
      <c r="I445" s="40"/>
      <c r="J445" s="8"/>
      <c r="K445" s="8"/>
      <c r="L445" s="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5"/>
      <c r="C446" s="1"/>
      <c r="D446" s="46"/>
      <c r="E446" s="1"/>
      <c r="F446" s="1"/>
      <c r="G446" s="5"/>
      <c r="H446" s="1"/>
      <c r="I446" s="40"/>
      <c r="J446" s="8"/>
      <c r="K446" s="8"/>
      <c r="L446" s="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5"/>
      <c r="C447" s="1"/>
      <c r="D447" s="46"/>
      <c r="E447" s="1"/>
      <c r="F447" s="1"/>
      <c r="G447" s="5"/>
      <c r="H447" s="1"/>
      <c r="I447" s="40"/>
      <c r="J447" s="8"/>
      <c r="K447" s="8"/>
      <c r="L447" s="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5"/>
      <c r="C448" s="1"/>
      <c r="D448" s="46"/>
      <c r="E448" s="1"/>
      <c r="F448" s="1"/>
      <c r="G448" s="5"/>
      <c r="H448" s="1"/>
      <c r="I448" s="40"/>
      <c r="J448" s="8"/>
      <c r="K448" s="8"/>
      <c r="L448" s="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5"/>
      <c r="C449" s="1"/>
      <c r="D449" s="46"/>
      <c r="E449" s="1"/>
      <c r="F449" s="1"/>
      <c r="G449" s="5"/>
      <c r="H449" s="1"/>
      <c r="I449" s="40"/>
      <c r="J449" s="8"/>
      <c r="K449" s="8"/>
      <c r="L449" s="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5"/>
      <c r="C450" s="1"/>
      <c r="D450" s="46"/>
      <c r="E450" s="1"/>
      <c r="F450" s="1"/>
      <c r="G450" s="5"/>
      <c r="H450" s="1"/>
      <c r="I450" s="40"/>
      <c r="J450" s="8"/>
      <c r="K450" s="8"/>
      <c r="L450" s="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5"/>
      <c r="C451" s="1"/>
      <c r="D451" s="46"/>
      <c r="E451" s="1"/>
      <c r="F451" s="1"/>
      <c r="G451" s="5"/>
      <c r="H451" s="1"/>
      <c r="I451" s="40"/>
      <c r="J451" s="8"/>
      <c r="K451" s="8"/>
      <c r="L451" s="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5"/>
      <c r="C452" s="1"/>
      <c r="D452" s="46"/>
      <c r="E452" s="1"/>
      <c r="F452" s="1"/>
      <c r="G452" s="5"/>
      <c r="H452" s="1"/>
      <c r="I452" s="40"/>
      <c r="J452" s="8"/>
      <c r="K452" s="8"/>
      <c r="L452" s="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5"/>
      <c r="C453" s="1"/>
      <c r="D453" s="46"/>
      <c r="E453" s="1"/>
      <c r="F453" s="1"/>
      <c r="G453" s="5"/>
      <c r="H453" s="1"/>
      <c r="I453" s="40"/>
      <c r="J453" s="8"/>
      <c r="K453" s="8"/>
      <c r="L453" s="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5"/>
      <c r="C454" s="1"/>
      <c r="D454" s="46"/>
      <c r="E454" s="1"/>
      <c r="F454" s="1"/>
      <c r="G454" s="5"/>
      <c r="H454" s="1"/>
      <c r="I454" s="40"/>
      <c r="J454" s="8"/>
      <c r="K454" s="8"/>
      <c r="L454" s="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5"/>
      <c r="C455" s="1"/>
      <c r="D455" s="46"/>
      <c r="E455" s="1"/>
      <c r="F455" s="1"/>
      <c r="G455" s="5"/>
      <c r="H455" s="1"/>
      <c r="I455" s="40"/>
      <c r="J455" s="8"/>
      <c r="K455" s="8"/>
      <c r="L455" s="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5"/>
      <c r="C456" s="1"/>
      <c r="D456" s="46"/>
      <c r="E456" s="1"/>
      <c r="F456" s="1"/>
      <c r="G456" s="5"/>
      <c r="H456" s="1"/>
      <c r="I456" s="40"/>
      <c r="J456" s="8"/>
      <c r="K456" s="8"/>
      <c r="L456" s="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5"/>
      <c r="C457" s="1"/>
      <c r="D457" s="46"/>
      <c r="E457" s="1"/>
      <c r="F457" s="1"/>
      <c r="G457" s="5"/>
      <c r="H457" s="1"/>
      <c r="I457" s="40"/>
      <c r="J457" s="8"/>
      <c r="K457" s="8"/>
      <c r="L457" s="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5"/>
      <c r="C458" s="1"/>
      <c r="D458" s="46"/>
      <c r="E458" s="1"/>
      <c r="F458" s="1"/>
      <c r="G458" s="5"/>
      <c r="H458" s="1"/>
      <c r="I458" s="40"/>
      <c r="J458" s="8"/>
      <c r="K458" s="8"/>
      <c r="L458" s="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5"/>
      <c r="C459" s="1"/>
      <c r="D459" s="46"/>
      <c r="E459" s="1"/>
      <c r="F459" s="1"/>
      <c r="G459" s="5"/>
      <c r="H459" s="1"/>
      <c r="I459" s="40"/>
      <c r="J459" s="8"/>
      <c r="K459" s="8"/>
      <c r="L459" s="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5"/>
      <c r="C460" s="1"/>
      <c r="D460" s="46"/>
      <c r="E460" s="1"/>
      <c r="F460" s="1"/>
      <c r="G460" s="5"/>
      <c r="H460" s="1"/>
      <c r="I460" s="40"/>
      <c r="J460" s="8"/>
      <c r="K460" s="8"/>
      <c r="L460" s="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5"/>
      <c r="C461" s="1"/>
      <c r="D461" s="46"/>
      <c r="E461" s="1"/>
      <c r="F461" s="1"/>
      <c r="G461" s="5"/>
      <c r="H461" s="1"/>
      <c r="I461" s="40"/>
      <c r="J461" s="8"/>
      <c r="K461" s="8"/>
      <c r="L461" s="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5"/>
      <c r="C462" s="1"/>
      <c r="D462" s="46"/>
      <c r="E462" s="1"/>
      <c r="F462" s="1"/>
      <c r="G462" s="5"/>
      <c r="H462" s="1"/>
      <c r="I462" s="40"/>
      <c r="J462" s="8"/>
      <c r="K462" s="8"/>
      <c r="L462" s="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5"/>
      <c r="C463" s="1"/>
      <c r="D463" s="46"/>
      <c r="E463" s="1"/>
      <c r="F463" s="1"/>
      <c r="G463" s="5"/>
      <c r="H463" s="1"/>
      <c r="I463" s="40"/>
      <c r="J463" s="8"/>
      <c r="K463" s="8"/>
      <c r="L463" s="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5"/>
      <c r="C464" s="1"/>
      <c r="D464" s="46"/>
      <c r="E464" s="1"/>
      <c r="F464" s="1"/>
      <c r="G464" s="5"/>
      <c r="H464" s="1"/>
      <c r="I464" s="40"/>
      <c r="J464" s="8"/>
      <c r="K464" s="8"/>
      <c r="L464" s="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5"/>
      <c r="C465" s="1"/>
      <c r="D465" s="46"/>
      <c r="E465" s="1"/>
      <c r="F465" s="1"/>
      <c r="G465" s="5"/>
      <c r="H465" s="1"/>
      <c r="I465" s="40"/>
      <c r="J465" s="8"/>
      <c r="K465" s="8"/>
      <c r="L465" s="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5"/>
      <c r="C466" s="1"/>
      <c r="D466" s="46"/>
      <c r="E466" s="1"/>
      <c r="F466" s="1"/>
      <c r="G466" s="5"/>
      <c r="H466" s="1"/>
      <c r="I466" s="40"/>
      <c r="J466" s="8"/>
      <c r="K466" s="8"/>
      <c r="L466" s="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5"/>
      <c r="C467" s="1"/>
      <c r="D467" s="46"/>
      <c r="E467" s="1"/>
      <c r="F467" s="1"/>
      <c r="G467" s="5"/>
      <c r="H467" s="1"/>
      <c r="I467" s="40"/>
      <c r="J467" s="8"/>
      <c r="K467" s="8"/>
      <c r="L467" s="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5"/>
      <c r="C468" s="1"/>
      <c r="D468" s="46"/>
      <c r="E468" s="1"/>
      <c r="F468" s="1"/>
      <c r="G468" s="5"/>
      <c r="H468" s="1"/>
      <c r="I468" s="40"/>
      <c r="J468" s="8"/>
      <c r="K468" s="8"/>
      <c r="L468" s="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5"/>
      <c r="C469" s="1"/>
      <c r="D469" s="46"/>
      <c r="E469" s="1"/>
      <c r="F469" s="1"/>
      <c r="G469" s="5"/>
      <c r="H469" s="1"/>
      <c r="I469" s="40"/>
      <c r="J469" s="8"/>
      <c r="K469" s="8"/>
      <c r="L469" s="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5"/>
      <c r="C470" s="1"/>
      <c r="D470" s="46"/>
      <c r="E470" s="1"/>
      <c r="F470" s="1"/>
      <c r="G470" s="5"/>
      <c r="H470" s="1"/>
      <c r="I470" s="40"/>
      <c r="J470" s="8"/>
      <c r="K470" s="8"/>
      <c r="L470" s="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5"/>
      <c r="C471" s="1"/>
      <c r="D471" s="46"/>
      <c r="E471" s="1"/>
      <c r="F471" s="1"/>
      <c r="G471" s="5"/>
      <c r="H471" s="1"/>
      <c r="I471" s="40"/>
      <c r="J471" s="8"/>
      <c r="K471" s="8"/>
      <c r="L471" s="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5"/>
      <c r="C472" s="1"/>
      <c r="D472" s="46"/>
      <c r="E472" s="1"/>
      <c r="F472" s="1"/>
      <c r="G472" s="5"/>
      <c r="H472" s="1"/>
      <c r="I472" s="40"/>
      <c r="J472" s="8"/>
      <c r="K472" s="8"/>
      <c r="L472" s="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5"/>
      <c r="C473" s="1"/>
      <c r="D473" s="46"/>
      <c r="E473" s="1"/>
      <c r="F473" s="1"/>
      <c r="G473" s="5"/>
      <c r="H473" s="1"/>
      <c r="I473" s="40"/>
      <c r="J473" s="8"/>
      <c r="K473" s="8"/>
      <c r="L473" s="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5"/>
      <c r="C474" s="1"/>
      <c r="D474" s="46"/>
      <c r="E474" s="1"/>
      <c r="F474" s="1"/>
      <c r="G474" s="5"/>
      <c r="H474" s="1"/>
      <c r="I474" s="40"/>
      <c r="J474" s="8"/>
      <c r="K474" s="8"/>
      <c r="L474" s="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5"/>
      <c r="C475" s="1"/>
      <c r="D475" s="46"/>
      <c r="E475" s="1"/>
      <c r="F475" s="1"/>
      <c r="G475" s="5"/>
      <c r="H475" s="1"/>
      <c r="I475" s="40"/>
      <c r="J475" s="8"/>
      <c r="K475" s="8"/>
      <c r="L475" s="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5"/>
      <c r="C476" s="1"/>
      <c r="D476" s="46"/>
      <c r="E476" s="1"/>
      <c r="F476" s="1"/>
      <c r="G476" s="5"/>
      <c r="H476" s="1"/>
      <c r="I476" s="40"/>
      <c r="J476" s="8"/>
      <c r="K476" s="8"/>
      <c r="L476" s="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5"/>
      <c r="C477" s="1"/>
      <c r="D477" s="46"/>
      <c r="E477" s="1"/>
      <c r="F477" s="1"/>
      <c r="G477" s="5"/>
      <c r="H477" s="1"/>
      <c r="I477" s="40"/>
      <c r="J477" s="8"/>
      <c r="K477" s="8"/>
      <c r="L477" s="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5"/>
      <c r="C478" s="1"/>
      <c r="D478" s="46"/>
      <c r="E478" s="1"/>
      <c r="F478" s="1"/>
      <c r="G478" s="5"/>
      <c r="H478" s="1"/>
      <c r="I478" s="40"/>
      <c r="J478" s="8"/>
      <c r="K478" s="8"/>
      <c r="L478" s="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5"/>
      <c r="C479" s="1"/>
      <c r="D479" s="46"/>
      <c r="E479" s="1"/>
      <c r="F479" s="1"/>
      <c r="G479" s="5"/>
      <c r="H479" s="1"/>
      <c r="I479" s="40"/>
      <c r="J479" s="8"/>
      <c r="K479" s="8"/>
      <c r="L479" s="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5"/>
      <c r="C480" s="1"/>
      <c r="D480" s="46"/>
      <c r="E480" s="1"/>
      <c r="F480" s="1"/>
      <c r="G480" s="5"/>
      <c r="H480" s="1"/>
      <c r="I480" s="40"/>
      <c r="J480" s="8"/>
      <c r="K480" s="8"/>
      <c r="L480" s="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5"/>
      <c r="C481" s="1"/>
      <c r="D481" s="46"/>
      <c r="E481" s="1"/>
      <c r="F481" s="1"/>
      <c r="G481" s="5"/>
      <c r="H481" s="1"/>
      <c r="I481" s="40"/>
      <c r="J481" s="8"/>
      <c r="K481" s="8"/>
      <c r="L481" s="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5"/>
      <c r="C482" s="1"/>
      <c r="D482" s="46"/>
      <c r="E482" s="1"/>
      <c r="F482" s="1"/>
      <c r="G482" s="5"/>
      <c r="H482" s="1"/>
      <c r="I482" s="40"/>
      <c r="J482" s="8"/>
      <c r="K482" s="8"/>
      <c r="L482" s="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5"/>
      <c r="C483" s="1"/>
      <c r="D483" s="46"/>
      <c r="E483" s="1"/>
      <c r="F483" s="1"/>
      <c r="G483" s="5"/>
      <c r="H483" s="1"/>
      <c r="I483" s="40"/>
      <c r="J483" s="8"/>
      <c r="K483" s="8"/>
      <c r="L483" s="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5"/>
      <c r="C484" s="1"/>
      <c r="D484" s="46"/>
      <c r="E484" s="1"/>
      <c r="F484" s="1"/>
      <c r="G484" s="5"/>
      <c r="H484" s="1"/>
      <c r="I484" s="40"/>
      <c r="J484" s="8"/>
      <c r="K484" s="8"/>
      <c r="L484" s="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5"/>
      <c r="C485" s="1"/>
      <c r="D485" s="46"/>
      <c r="E485" s="1"/>
      <c r="F485" s="1"/>
      <c r="G485" s="5"/>
      <c r="H485" s="1"/>
      <c r="I485" s="40"/>
      <c r="J485" s="8"/>
      <c r="K485" s="8"/>
      <c r="L485" s="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5"/>
      <c r="C486" s="1"/>
      <c r="D486" s="46"/>
      <c r="E486" s="1"/>
      <c r="F486" s="1"/>
      <c r="G486" s="5"/>
      <c r="H486" s="1"/>
      <c r="I486" s="40"/>
      <c r="J486" s="8"/>
      <c r="K486" s="8"/>
      <c r="L486" s="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5"/>
      <c r="C487" s="1"/>
      <c r="D487" s="46"/>
      <c r="E487" s="1"/>
      <c r="F487" s="1"/>
      <c r="G487" s="5"/>
      <c r="H487" s="1"/>
      <c r="I487" s="40"/>
      <c r="J487" s="8"/>
      <c r="K487" s="8"/>
      <c r="L487" s="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5"/>
      <c r="C488" s="1"/>
      <c r="D488" s="46"/>
      <c r="E488" s="1"/>
      <c r="F488" s="1"/>
      <c r="G488" s="5"/>
      <c r="H488" s="1"/>
      <c r="I488" s="40"/>
      <c r="J488" s="8"/>
      <c r="K488" s="8"/>
      <c r="L488" s="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5"/>
      <c r="C489" s="1"/>
      <c r="D489" s="46"/>
      <c r="E489" s="1"/>
      <c r="F489" s="1"/>
      <c r="G489" s="5"/>
      <c r="H489" s="1"/>
      <c r="I489" s="40"/>
      <c r="J489" s="8"/>
      <c r="K489" s="8"/>
      <c r="L489" s="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5"/>
      <c r="C490" s="1"/>
      <c r="D490" s="46"/>
      <c r="E490" s="1"/>
      <c r="F490" s="1"/>
      <c r="G490" s="5"/>
      <c r="H490" s="1"/>
      <c r="I490" s="40"/>
      <c r="J490" s="8"/>
      <c r="K490" s="8"/>
      <c r="L490" s="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5"/>
      <c r="C491" s="1"/>
      <c r="D491" s="46"/>
      <c r="E491" s="1"/>
      <c r="F491" s="1"/>
      <c r="G491" s="5"/>
      <c r="H491" s="1"/>
      <c r="I491" s="40"/>
      <c r="J491" s="8"/>
      <c r="K491" s="8"/>
      <c r="L491" s="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5"/>
      <c r="C492" s="1"/>
      <c r="D492" s="46"/>
      <c r="E492" s="1"/>
      <c r="F492" s="1"/>
      <c r="G492" s="5"/>
      <c r="H492" s="1"/>
      <c r="I492" s="40"/>
      <c r="J492" s="8"/>
      <c r="K492" s="8"/>
      <c r="L492" s="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5"/>
      <c r="C493" s="1"/>
      <c r="D493" s="46"/>
      <c r="E493" s="1"/>
      <c r="F493" s="1"/>
      <c r="G493" s="5"/>
      <c r="H493" s="1"/>
      <c r="I493" s="40"/>
      <c r="J493" s="8"/>
      <c r="K493" s="8"/>
      <c r="L493" s="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5"/>
      <c r="C494" s="1"/>
      <c r="D494" s="46"/>
      <c r="E494" s="1"/>
      <c r="F494" s="1"/>
      <c r="G494" s="5"/>
      <c r="H494" s="1"/>
      <c r="I494" s="40"/>
      <c r="J494" s="8"/>
      <c r="K494" s="8"/>
      <c r="L494" s="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5"/>
      <c r="C495" s="1"/>
      <c r="D495" s="46"/>
      <c r="E495" s="1"/>
      <c r="F495" s="1"/>
      <c r="G495" s="5"/>
      <c r="H495" s="1"/>
      <c r="I495" s="40"/>
      <c r="J495" s="8"/>
      <c r="K495" s="8"/>
      <c r="L495" s="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5"/>
      <c r="C496" s="1"/>
      <c r="D496" s="46"/>
      <c r="E496" s="1"/>
      <c r="F496" s="1"/>
      <c r="G496" s="5"/>
      <c r="H496" s="1"/>
      <c r="I496" s="40"/>
      <c r="J496" s="8"/>
      <c r="K496" s="8"/>
      <c r="L496" s="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5"/>
      <c r="C497" s="1"/>
      <c r="D497" s="46"/>
      <c r="E497" s="1"/>
      <c r="F497" s="1"/>
      <c r="G497" s="5"/>
      <c r="H497" s="1"/>
      <c r="I497" s="40"/>
      <c r="J497" s="8"/>
      <c r="K497" s="8"/>
      <c r="L497" s="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5"/>
      <c r="C498" s="1"/>
      <c r="D498" s="46"/>
      <c r="E498" s="1"/>
      <c r="F498" s="1"/>
      <c r="G498" s="5"/>
      <c r="H498" s="1"/>
      <c r="I498" s="40"/>
      <c r="J498" s="8"/>
      <c r="K498" s="8"/>
      <c r="L498" s="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5"/>
      <c r="C499" s="1"/>
      <c r="D499" s="46"/>
      <c r="E499" s="1"/>
      <c r="F499" s="1"/>
      <c r="G499" s="5"/>
      <c r="H499" s="1"/>
      <c r="I499" s="40"/>
      <c r="J499" s="8"/>
      <c r="K499" s="8"/>
      <c r="L499" s="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5"/>
      <c r="C500" s="1"/>
      <c r="D500" s="46"/>
      <c r="E500" s="1"/>
      <c r="F500" s="1"/>
      <c r="G500" s="5"/>
      <c r="H500" s="1"/>
      <c r="I500" s="40"/>
      <c r="J500" s="8"/>
      <c r="K500" s="8"/>
      <c r="L500" s="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5"/>
      <c r="C501" s="1"/>
      <c r="D501" s="46"/>
      <c r="E501" s="1"/>
      <c r="F501" s="1"/>
      <c r="G501" s="5"/>
      <c r="H501" s="1"/>
      <c r="I501" s="40"/>
      <c r="J501" s="8"/>
      <c r="K501" s="8"/>
      <c r="L501" s="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5"/>
      <c r="C502" s="1"/>
      <c r="D502" s="46"/>
      <c r="E502" s="1"/>
      <c r="F502" s="1"/>
      <c r="G502" s="5"/>
      <c r="H502" s="1"/>
      <c r="I502" s="40"/>
      <c r="J502" s="8"/>
      <c r="K502" s="8"/>
      <c r="L502" s="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5"/>
      <c r="C503" s="1"/>
      <c r="D503" s="46"/>
      <c r="E503" s="1"/>
      <c r="F503" s="1"/>
      <c r="G503" s="5"/>
      <c r="H503" s="1"/>
      <c r="I503" s="40"/>
      <c r="J503" s="8"/>
      <c r="K503" s="8"/>
      <c r="L503" s="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5"/>
      <c r="C504" s="1"/>
      <c r="D504" s="46"/>
      <c r="E504" s="1"/>
      <c r="F504" s="1"/>
      <c r="G504" s="5"/>
      <c r="H504" s="1"/>
      <c r="I504" s="40"/>
      <c r="J504" s="8"/>
      <c r="K504" s="8"/>
      <c r="L504" s="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5"/>
      <c r="C505" s="1"/>
      <c r="D505" s="46"/>
      <c r="E505" s="1"/>
      <c r="F505" s="1"/>
      <c r="G505" s="5"/>
      <c r="H505" s="1"/>
      <c r="I505" s="40"/>
      <c r="J505" s="8"/>
      <c r="K505" s="8"/>
      <c r="L505" s="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5"/>
      <c r="C506" s="1"/>
      <c r="D506" s="46"/>
      <c r="E506" s="1"/>
      <c r="F506" s="1"/>
      <c r="G506" s="5"/>
      <c r="H506" s="1"/>
      <c r="I506" s="40"/>
      <c r="J506" s="8"/>
      <c r="K506" s="8"/>
      <c r="L506" s="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5"/>
      <c r="C507" s="1"/>
      <c r="D507" s="46"/>
      <c r="E507" s="1"/>
      <c r="F507" s="1"/>
      <c r="G507" s="5"/>
      <c r="H507" s="1"/>
      <c r="I507" s="40"/>
      <c r="J507" s="8"/>
      <c r="K507" s="8"/>
      <c r="L507" s="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5"/>
      <c r="C508" s="1"/>
      <c r="D508" s="46"/>
      <c r="E508" s="1"/>
      <c r="F508" s="1"/>
      <c r="G508" s="5"/>
      <c r="H508" s="1"/>
      <c r="I508" s="40"/>
      <c r="J508" s="8"/>
      <c r="K508" s="8"/>
      <c r="L508" s="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5"/>
      <c r="C509" s="1"/>
      <c r="D509" s="46"/>
      <c r="E509" s="1"/>
      <c r="F509" s="1"/>
      <c r="G509" s="5"/>
      <c r="H509" s="1"/>
      <c r="I509" s="40"/>
      <c r="J509" s="8"/>
      <c r="K509" s="8"/>
      <c r="L509" s="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5"/>
      <c r="C510" s="1"/>
      <c r="D510" s="46"/>
      <c r="E510" s="1"/>
      <c r="F510" s="1"/>
      <c r="G510" s="5"/>
      <c r="H510" s="1"/>
      <c r="I510" s="40"/>
      <c r="J510" s="8"/>
      <c r="K510" s="8"/>
      <c r="L510" s="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5"/>
      <c r="C511" s="1"/>
      <c r="D511" s="46"/>
      <c r="E511" s="1"/>
      <c r="F511" s="1"/>
      <c r="G511" s="5"/>
      <c r="H511" s="1"/>
      <c r="I511" s="40"/>
      <c r="J511" s="8"/>
      <c r="K511" s="8"/>
      <c r="L511" s="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5"/>
      <c r="C512" s="1"/>
      <c r="D512" s="46"/>
      <c r="E512" s="1"/>
      <c r="F512" s="1"/>
      <c r="G512" s="5"/>
      <c r="H512" s="1"/>
      <c r="I512" s="40"/>
      <c r="J512" s="8"/>
      <c r="K512" s="8"/>
      <c r="L512" s="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5"/>
      <c r="C513" s="1"/>
      <c r="D513" s="46"/>
      <c r="E513" s="1"/>
      <c r="F513" s="1"/>
      <c r="G513" s="5"/>
      <c r="H513" s="1"/>
      <c r="I513" s="40"/>
      <c r="J513" s="8"/>
      <c r="K513" s="8"/>
      <c r="L513" s="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5"/>
      <c r="C514" s="1"/>
      <c r="D514" s="46"/>
      <c r="E514" s="1"/>
      <c r="F514" s="1"/>
      <c r="G514" s="5"/>
      <c r="H514" s="1"/>
      <c r="I514" s="40"/>
      <c r="J514" s="8"/>
      <c r="K514" s="8"/>
      <c r="L514" s="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5"/>
      <c r="C515" s="1"/>
      <c r="D515" s="46"/>
      <c r="E515" s="1"/>
      <c r="F515" s="1"/>
      <c r="G515" s="5"/>
      <c r="H515" s="1"/>
      <c r="I515" s="40"/>
      <c r="J515" s="8"/>
      <c r="K515" s="8"/>
      <c r="L515" s="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5"/>
      <c r="C516" s="1"/>
      <c r="D516" s="46"/>
      <c r="E516" s="1"/>
      <c r="F516" s="1"/>
      <c r="G516" s="5"/>
      <c r="H516" s="1"/>
      <c r="I516" s="40"/>
      <c r="J516" s="8"/>
      <c r="K516" s="8"/>
      <c r="L516" s="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5"/>
      <c r="C517" s="1"/>
      <c r="D517" s="46"/>
      <c r="E517" s="1"/>
      <c r="F517" s="1"/>
      <c r="G517" s="5"/>
      <c r="H517" s="1"/>
      <c r="I517" s="40"/>
      <c r="J517" s="8"/>
      <c r="K517" s="8"/>
      <c r="L517" s="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5"/>
      <c r="C518" s="1"/>
      <c r="D518" s="46"/>
      <c r="E518" s="1"/>
      <c r="F518" s="1"/>
      <c r="G518" s="5"/>
      <c r="H518" s="1"/>
      <c r="I518" s="40"/>
      <c r="J518" s="8"/>
      <c r="K518" s="8"/>
      <c r="L518" s="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5"/>
      <c r="C519" s="1"/>
      <c r="D519" s="46"/>
      <c r="E519" s="1"/>
      <c r="F519" s="1"/>
      <c r="G519" s="5"/>
      <c r="H519" s="1"/>
      <c r="I519" s="40"/>
      <c r="J519" s="8"/>
      <c r="K519" s="8"/>
      <c r="L519" s="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5"/>
      <c r="C520" s="1"/>
      <c r="D520" s="46"/>
      <c r="E520" s="1"/>
      <c r="F520" s="1"/>
      <c r="G520" s="5"/>
      <c r="H520" s="1"/>
      <c r="I520" s="40"/>
      <c r="J520" s="8"/>
      <c r="K520" s="8"/>
      <c r="L520" s="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5"/>
      <c r="C521" s="1"/>
      <c r="D521" s="46"/>
      <c r="E521" s="1"/>
      <c r="F521" s="1"/>
      <c r="G521" s="5"/>
      <c r="H521" s="1"/>
      <c r="I521" s="40"/>
      <c r="J521" s="8"/>
      <c r="K521" s="8"/>
      <c r="L521" s="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5"/>
      <c r="C522" s="1"/>
      <c r="D522" s="46"/>
      <c r="E522" s="1"/>
      <c r="F522" s="1"/>
      <c r="G522" s="5"/>
      <c r="H522" s="1"/>
      <c r="I522" s="40"/>
      <c r="J522" s="8"/>
      <c r="K522" s="8"/>
      <c r="L522" s="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5"/>
      <c r="C523" s="1"/>
      <c r="D523" s="46"/>
      <c r="E523" s="1"/>
      <c r="F523" s="1"/>
      <c r="G523" s="5"/>
      <c r="H523" s="1"/>
      <c r="I523" s="40"/>
      <c r="J523" s="8"/>
      <c r="K523" s="8"/>
      <c r="L523" s="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5"/>
      <c r="C524" s="1"/>
      <c r="D524" s="46"/>
      <c r="E524" s="1"/>
      <c r="F524" s="1"/>
      <c r="G524" s="5"/>
      <c r="H524" s="1"/>
      <c r="I524" s="40"/>
      <c r="J524" s="8"/>
      <c r="K524" s="8"/>
      <c r="L524" s="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5"/>
      <c r="C525" s="1"/>
      <c r="D525" s="46"/>
      <c r="E525" s="1"/>
      <c r="F525" s="1"/>
      <c r="G525" s="5"/>
      <c r="H525" s="1"/>
      <c r="I525" s="40"/>
      <c r="J525" s="8"/>
      <c r="K525" s="8"/>
      <c r="L525" s="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5"/>
      <c r="C526" s="1"/>
      <c r="D526" s="46"/>
      <c r="E526" s="1"/>
      <c r="F526" s="1"/>
      <c r="G526" s="5"/>
      <c r="H526" s="1"/>
      <c r="I526" s="40"/>
      <c r="J526" s="8"/>
      <c r="K526" s="8"/>
      <c r="L526" s="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5"/>
      <c r="C527" s="1"/>
      <c r="D527" s="46"/>
      <c r="E527" s="1"/>
      <c r="F527" s="1"/>
      <c r="G527" s="5"/>
      <c r="H527" s="1"/>
      <c r="I527" s="40"/>
      <c r="J527" s="8"/>
      <c r="K527" s="8"/>
      <c r="L527" s="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5"/>
      <c r="C528" s="1"/>
      <c r="D528" s="46"/>
      <c r="E528" s="1"/>
      <c r="F528" s="1"/>
      <c r="G528" s="5"/>
      <c r="H528" s="1"/>
      <c r="I528" s="40"/>
      <c r="J528" s="8"/>
      <c r="K528" s="8"/>
      <c r="L528" s="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5"/>
      <c r="C529" s="1"/>
      <c r="D529" s="46"/>
      <c r="E529" s="1"/>
      <c r="F529" s="1"/>
      <c r="G529" s="5"/>
      <c r="H529" s="1"/>
      <c r="I529" s="40"/>
      <c r="J529" s="8"/>
      <c r="K529" s="8"/>
      <c r="L529" s="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5"/>
      <c r="C530" s="1"/>
      <c r="D530" s="46"/>
      <c r="E530" s="1"/>
      <c r="F530" s="1"/>
      <c r="G530" s="5"/>
      <c r="H530" s="1"/>
      <c r="I530" s="40"/>
      <c r="J530" s="8"/>
      <c r="K530" s="8"/>
      <c r="L530" s="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5"/>
      <c r="C531" s="1"/>
      <c r="D531" s="46"/>
      <c r="E531" s="1"/>
      <c r="F531" s="1"/>
      <c r="G531" s="5"/>
      <c r="H531" s="1"/>
      <c r="I531" s="40"/>
      <c r="J531" s="8"/>
      <c r="K531" s="8"/>
      <c r="L531" s="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5"/>
      <c r="C532" s="1"/>
      <c r="D532" s="46"/>
      <c r="E532" s="1"/>
      <c r="F532" s="1"/>
      <c r="G532" s="5"/>
      <c r="H532" s="1"/>
      <c r="I532" s="40"/>
      <c r="J532" s="8"/>
      <c r="K532" s="8"/>
      <c r="L532" s="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5"/>
      <c r="C533" s="1"/>
      <c r="D533" s="46"/>
      <c r="E533" s="1"/>
      <c r="F533" s="1"/>
      <c r="G533" s="5"/>
      <c r="H533" s="1"/>
      <c r="I533" s="40"/>
      <c r="J533" s="8"/>
      <c r="K533" s="8"/>
      <c r="L533" s="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5"/>
      <c r="C534" s="1"/>
      <c r="D534" s="46"/>
      <c r="E534" s="1"/>
      <c r="F534" s="1"/>
      <c r="G534" s="5"/>
      <c r="H534" s="1"/>
      <c r="I534" s="40"/>
      <c r="J534" s="8"/>
      <c r="K534" s="8"/>
      <c r="L534" s="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5"/>
      <c r="C535" s="1"/>
      <c r="D535" s="46"/>
      <c r="E535" s="1"/>
      <c r="F535" s="1"/>
      <c r="G535" s="5"/>
      <c r="H535" s="1"/>
      <c r="I535" s="40"/>
      <c r="J535" s="8"/>
      <c r="K535" s="8"/>
      <c r="L535" s="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5"/>
      <c r="C536" s="1"/>
      <c r="D536" s="46"/>
      <c r="E536" s="1"/>
      <c r="F536" s="1"/>
      <c r="G536" s="5"/>
      <c r="H536" s="1"/>
      <c r="I536" s="40"/>
      <c r="J536" s="8"/>
      <c r="K536" s="8"/>
      <c r="L536" s="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5"/>
      <c r="C537" s="1"/>
      <c r="D537" s="46"/>
      <c r="E537" s="1"/>
      <c r="F537" s="1"/>
      <c r="G537" s="5"/>
      <c r="H537" s="1"/>
      <c r="I537" s="40"/>
      <c r="J537" s="8"/>
      <c r="K537" s="8"/>
      <c r="L537" s="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5"/>
      <c r="C538" s="1"/>
      <c r="D538" s="46"/>
      <c r="E538" s="1"/>
      <c r="F538" s="1"/>
      <c r="G538" s="5"/>
      <c r="H538" s="1"/>
      <c r="I538" s="40"/>
      <c r="J538" s="8"/>
      <c r="K538" s="8"/>
      <c r="L538" s="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5"/>
      <c r="C539" s="1"/>
      <c r="D539" s="46"/>
      <c r="E539" s="1"/>
      <c r="F539" s="1"/>
      <c r="G539" s="5"/>
      <c r="H539" s="1"/>
      <c r="I539" s="40"/>
      <c r="J539" s="8"/>
      <c r="K539" s="8"/>
      <c r="L539" s="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5"/>
      <c r="C540" s="1"/>
      <c r="D540" s="46"/>
      <c r="E540" s="1"/>
      <c r="F540" s="1"/>
      <c r="G540" s="5"/>
      <c r="H540" s="1"/>
      <c r="I540" s="40"/>
      <c r="J540" s="8"/>
      <c r="K540" s="8"/>
      <c r="L540" s="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5"/>
      <c r="C541" s="1"/>
      <c r="D541" s="46"/>
      <c r="E541" s="1"/>
      <c r="F541" s="1"/>
      <c r="G541" s="5"/>
      <c r="H541" s="1"/>
      <c r="I541" s="40"/>
      <c r="J541" s="8"/>
      <c r="K541" s="8"/>
      <c r="L541" s="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5"/>
      <c r="C542" s="1"/>
      <c r="D542" s="46"/>
      <c r="E542" s="1"/>
      <c r="F542" s="1"/>
      <c r="G542" s="5"/>
      <c r="H542" s="1"/>
      <c r="I542" s="40"/>
      <c r="J542" s="8"/>
      <c r="K542" s="8"/>
      <c r="L542" s="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5"/>
      <c r="C543" s="1"/>
      <c r="D543" s="46"/>
      <c r="E543" s="1"/>
      <c r="F543" s="1"/>
      <c r="G543" s="5"/>
      <c r="H543" s="1"/>
      <c r="I543" s="40"/>
      <c r="J543" s="8"/>
      <c r="K543" s="8"/>
      <c r="L543" s="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5"/>
      <c r="C544" s="1"/>
      <c r="D544" s="46"/>
      <c r="E544" s="1"/>
      <c r="F544" s="1"/>
      <c r="G544" s="5"/>
      <c r="H544" s="1"/>
      <c r="I544" s="40"/>
      <c r="J544" s="8"/>
      <c r="K544" s="8"/>
      <c r="L544" s="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5"/>
      <c r="C545" s="1"/>
      <c r="D545" s="46"/>
      <c r="E545" s="1"/>
      <c r="F545" s="1"/>
      <c r="G545" s="5"/>
      <c r="H545" s="1"/>
      <c r="I545" s="40"/>
      <c r="J545" s="8"/>
      <c r="K545" s="8"/>
      <c r="L545" s="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5"/>
      <c r="C546" s="1"/>
      <c r="D546" s="46"/>
      <c r="E546" s="1"/>
      <c r="F546" s="1"/>
      <c r="G546" s="5"/>
      <c r="H546" s="1"/>
      <c r="I546" s="40"/>
      <c r="J546" s="8"/>
      <c r="K546" s="8"/>
      <c r="L546" s="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5"/>
      <c r="C547" s="1"/>
      <c r="D547" s="46"/>
      <c r="E547" s="1"/>
      <c r="F547" s="1"/>
      <c r="G547" s="5"/>
      <c r="H547" s="1"/>
      <c r="I547" s="40"/>
      <c r="J547" s="8"/>
      <c r="K547" s="8"/>
      <c r="L547" s="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5"/>
      <c r="C548" s="1"/>
      <c r="D548" s="46"/>
      <c r="E548" s="1"/>
      <c r="F548" s="1"/>
      <c r="G548" s="5"/>
      <c r="H548" s="1"/>
      <c r="I548" s="40"/>
      <c r="J548" s="8"/>
      <c r="K548" s="8"/>
      <c r="L548" s="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5"/>
      <c r="C549" s="1"/>
      <c r="D549" s="46"/>
      <c r="E549" s="1"/>
      <c r="F549" s="1"/>
      <c r="G549" s="5"/>
      <c r="H549" s="1"/>
      <c r="I549" s="40"/>
      <c r="J549" s="8"/>
      <c r="K549" s="8"/>
      <c r="L549" s="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5"/>
      <c r="C550" s="1"/>
      <c r="D550" s="46"/>
      <c r="E550" s="1"/>
      <c r="F550" s="1"/>
      <c r="G550" s="5"/>
      <c r="H550" s="1"/>
      <c r="I550" s="40"/>
      <c r="J550" s="8"/>
      <c r="K550" s="8"/>
      <c r="L550" s="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5"/>
      <c r="C551" s="1"/>
      <c r="D551" s="46"/>
      <c r="E551" s="1"/>
      <c r="F551" s="1"/>
      <c r="G551" s="5"/>
      <c r="H551" s="1"/>
      <c r="I551" s="40"/>
      <c r="J551" s="8"/>
      <c r="K551" s="8"/>
      <c r="L551" s="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5"/>
      <c r="C552" s="1"/>
      <c r="D552" s="46"/>
      <c r="E552" s="1"/>
      <c r="F552" s="1"/>
      <c r="G552" s="5"/>
      <c r="H552" s="1"/>
      <c r="I552" s="40"/>
      <c r="J552" s="8"/>
      <c r="K552" s="8"/>
      <c r="L552" s="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5"/>
      <c r="C553" s="1"/>
      <c r="D553" s="46"/>
      <c r="E553" s="1"/>
      <c r="F553" s="1"/>
      <c r="G553" s="5"/>
      <c r="H553" s="1"/>
      <c r="I553" s="40"/>
      <c r="J553" s="8"/>
      <c r="K553" s="8"/>
      <c r="L553" s="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5"/>
      <c r="C554" s="1"/>
      <c r="D554" s="46"/>
      <c r="E554" s="1"/>
      <c r="F554" s="1"/>
      <c r="G554" s="5"/>
      <c r="H554" s="1"/>
      <c r="I554" s="40"/>
      <c r="J554" s="8"/>
      <c r="K554" s="8"/>
      <c r="L554" s="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5"/>
      <c r="C555" s="1"/>
      <c r="D555" s="46"/>
      <c r="E555" s="1"/>
      <c r="F555" s="1"/>
      <c r="G555" s="5"/>
      <c r="H555" s="1"/>
      <c r="I555" s="40"/>
      <c r="J555" s="8"/>
      <c r="K555" s="8"/>
      <c r="L555" s="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5"/>
      <c r="C556" s="1"/>
      <c r="D556" s="46"/>
      <c r="E556" s="1"/>
      <c r="F556" s="1"/>
      <c r="G556" s="5"/>
      <c r="H556" s="1"/>
      <c r="I556" s="40"/>
      <c r="J556" s="8"/>
      <c r="K556" s="8"/>
      <c r="L556" s="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5"/>
      <c r="C557" s="1"/>
      <c r="D557" s="46"/>
      <c r="E557" s="1"/>
      <c r="F557" s="1"/>
      <c r="G557" s="5"/>
      <c r="H557" s="1"/>
      <c r="I557" s="40"/>
      <c r="J557" s="8"/>
      <c r="K557" s="8"/>
      <c r="L557" s="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5"/>
      <c r="C558" s="1"/>
      <c r="D558" s="46"/>
      <c r="E558" s="1"/>
      <c r="F558" s="1"/>
      <c r="G558" s="5"/>
      <c r="H558" s="1"/>
      <c r="I558" s="40"/>
      <c r="J558" s="8"/>
      <c r="K558" s="8"/>
      <c r="L558" s="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5"/>
      <c r="C559" s="1"/>
      <c r="D559" s="46"/>
      <c r="E559" s="1"/>
      <c r="F559" s="1"/>
      <c r="G559" s="5"/>
      <c r="H559" s="1"/>
      <c r="I559" s="40"/>
      <c r="J559" s="8"/>
      <c r="K559" s="8"/>
      <c r="L559" s="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5"/>
      <c r="C560" s="1"/>
      <c r="D560" s="46"/>
      <c r="E560" s="1"/>
      <c r="F560" s="1"/>
      <c r="G560" s="5"/>
      <c r="H560" s="1"/>
      <c r="I560" s="40"/>
      <c r="J560" s="8"/>
      <c r="K560" s="8"/>
      <c r="L560" s="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5"/>
      <c r="C561" s="1"/>
      <c r="D561" s="46"/>
      <c r="E561" s="1"/>
      <c r="F561" s="1"/>
      <c r="G561" s="5"/>
      <c r="H561" s="1"/>
      <c r="I561" s="40"/>
      <c r="J561" s="8"/>
      <c r="K561" s="8"/>
      <c r="L561" s="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5"/>
      <c r="C562" s="1"/>
      <c r="D562" s="46"/>
      <c r="E562" s="1"/>
      <c r="F562" s="1"/>
      <c r="G562" s="5"/>
      <c r="H562" s="1"/>
      <c r="I562" s="40"/>
      <c r="J562" s="8"/>
      <c r="K562" s="8"/>
      <c r="L562" s="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5"/>
      <c r="C563" s="1"/>
      <c r="D563" s="46"/>
      <c r="E563" s="1"/>
      <c r="F563" s="1"/>
      <c r="G563" s="5"/>
      <c r="H563" s="1"/>
      <c r="I563" s="40"/>
      <c r="J563" s="8"/>
      <c r="K563" s="8"/>
      <c r="L563" s="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5"/>
      <c r="C564" s="1"/>
      <c r="D564" s="46"/>
      <c r="E564" s="1"/>
      <c r="F564" s="1"/>
      <c r="G564" s="5"/>
      <c r="H564" s="1"/>
      <c r="I564" s="40"/>
      <c r="J564" s="8"/>
      <c r="K564" s="8"/>
      <c r="L564" s="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5"/>
      <c r="C565" s="1"/>
      <c r="D565" s="46"/>
      <c r="E565" s="1"/>
      <c r="F565" s="1"/>
      <c r="G565" s="5"/>
      <c r="H565" s="1"/>
      <c r="I565" s="40"/>
      <c r="J565" s="8"/>
      <c r="K565" s="8"/>
      <c r="L565" s="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5"/>
      <c r="C566" s="1"/>
      <c r="D566" s="46"/>
      <c r="E566" s="1"/>
      <c r="F566" s="1"/>
      <c r="G566" s="5"/>
      <c r="H566" s="1"/>
      <c r="I566" s="40"/>
      <c r="J566" s="8"/>
      <c r="K566" s="8"/>
      <c r="L566" s="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5"/>
      <c r="C567" s="1"/>
      <c r="D567" s="46"/>
      <c r="E567" s="1"/>
      <c r="F567" s="1"/>
      <c r="G567" s="5"/>
      <c r="H567" s="1"/>
      <c r="I567" s="40"/>
      <c r="J567" s="8"/>
      <c r="K567" s="8"/>
      <c r="L567" s="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5"/>
      <c r="C568" s="1"/>
      <c r="D568" s="46"/>
      <c r="E568" s="1"/>
      <c r="F568" s="1"/>
      <c r="G568" s="5"/>
      <c r="H568" s="1"/>
      <c r="I568" s="40"/>
      <c r="J568" s="8"/>
      <c r="K568" s="8"/>
      <c r="L568" s="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5"/>
      <c r="C569" s="1"/>
      <c r="D569" s="46"/>
      <c r="E569" s="1"/>
      <c r="F569" s="1"/>
      <c r="G569" s="5"/>
      <c r="H569" s="1"/>
      <c r="I569" s="40"/>
      <c r="J569" s="8"/>
      <c r="K569" s="8"/>
      <c r="L569" s="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5"/>
      <c r="C570" s="1"/>
      <c r="D570" s="46"/>
      <c r="E570" s="1"/>
      <c r="F570" s="1"/>
      <c r="G570" s="5"/>
      <c r="H570" s="1"/>
      <c r="I570" s="40"/>
      <c r="J570" s="8"/>
      <c r="K570" s="8"/>
      <c r="L570" s="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5"/>
      <c r="C571" s="1"/>
      <c r="D571" s="46"/>
      <c r="E571" s="1"/>
      <c r="F571" s="1"/>
      <c r="G571" s="5"/>
      <c r="H571" s="1"/>
      <c r="I571" s="40"/>
      <c r="J571" s="8"/>
      <c r="K571" s="8"/>
      <c r="L571" s="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5"/>
      <c r="C572" s="1"/>
      <c r="D572" s="46"/>
      <c r="E572" s="1"/>
      <c r="F572" s="1"/>
      <c r="G572" s="5"/>
      <c r="H572" s="1"/>
      <c r="I572" s="40"/>
      <c r="J572" s="8"/>
      <c r="K572" s="8"/>
      <c r="L572" s="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5"/>
      <c r="C573" s="1"/>
      <c r="D573" s="46"/>
      <c r="E573" s="1"/>
      <c r="F573" s="1"/>
      <c r="G573" s="5"/>
      <c r="H573" s="1"/>
      <c r="I573" s="40"/>
      <c r="J573" s="8"/>
      <c r="K573" s="8"/>
      <c r="L573" s="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5"/>
      <c r="C574" s="1"/>
      <c r="D574" s="46"/>
      <c r="E574" s="1"/>
      <c r="F574" s="1"/>
      <c r="G574" s="5"/>
      <c r="H574" s="1"/>
      <c r="I574" s="40"/>
      <c r="J574" s="8"/>
      <c r="K574" s="8"/>
      <c r="L574" s="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5"/>
      <c r="C575" s="1"/>
      <c r="D575" s="46"/>
      <c r="E575" s="1"/>
      <c r="F575" s="1"/>
      <c r="G575" s="5"/>
      <c r="H575" s="1"/>
      <c r="I575" s="40"/>
      <c r="J575" s="8"/>
      <c r="K575" s="8"/>
      <c r="L575" s="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5"/>
      <c r="C576" s="1"/>
      <c r="D576" s="46"/>
      <c r="E576" s="1"/>
      <c r="F576" s="1"/>
      <c r="G576" s="5"/>
      <c r="H576" s="1"/>
      <c r="I576" s="40"/>
      <c r="J576" s="8"/>
      <c r="K576" s="8"/>
      <c r="L576" s="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5"/>
      <c r="C577" s="1"/>
      <c r="D577" s="46"/>
      <c r="E577" s="1"/>
      <c r="F577" s="1"/>
      <c r="G577" s="5"/>
      <c r="H577" s="1"/>
      <c r="I577" s="40"/>
      <c r="J577" s="8"/>
      <c r="K577" s="8"/>
      <c r="L577" s="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5"/>
      <c r="C578" s="1"/>
      <c r="D578" s="46"/>
      <c r="E578" s="1"/>
      <c r="F578" s="1"/>
      <c r="G578" s="5"/>
      <c r="H578" s="1"/>
      <c r="I578" s="40"/>
      <c r="J578" s="8"/>
      <c r="K578" s="8"/>
      <c r="L578" s="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5"/>
      <c r="C579" s="1"/>
      <c r="D579" s="46"/>
      <c r="E579" s="1"/>
      <c r="F579" s="1"/>
      <c r="G579" s="5"/>
      <c r="H579" s="1"/>
      <c r="I579" s="40"/>
      <c r="J579" s="8"/>
      <c r="K579" s="8"/>
      <c r="L579" s="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5"/>
      <c r="C580" s="1"/>
      <c r="D580" s="46"/>
      <c r="E580" s="1"/>
      <c r="F580" s="1"/>
      <c r="G580" s="5"/>
      <c r="H580" s="1"/>
      <c r="I580" s="40"/>
      <c r="J580" s="8"/>
      <c r="K580" s="8"/>
      <c r="L580" s="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5"/>
      <c r="C581" s="1"/>
      <c r="D581" s="46"/>
      <c r="E581" s="1"/>
      <c r="F581" s="1"/>
      <c r="G581" s="5"/>
      <c r="H581" s="1"/>
      <c r="I581" s="40"/>
      <c r="J581" s="8"/>
      <c r="K581" s="8"/>
      <c r="L581" s="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5"/>
      <c r="C582" s="1"/>
      <c r="D582" s="46"/>
      <c r="E582" s="1"/>
      <c r="F582" s="1"/>
      <c r="G582" s="5"/>
      <c r="H582" s="1"/>
      <c r="I582" s="40"/>
      <c r="J582" s="8"/>
      <c r="K582" s="8"/>
      <c r="L582" s="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5"/>
      <c r="C583" s="1"/>
      <c r="D583" s="46"/>
      <c r="E583" s="1"/>
      <c r="F583" s="1"/>
      <c r="G583" s="5"/>
      <c r="H583" s="1"/>
      <c r="I583" s="40"/>
      <c r="J583" s="8"/>
      <c r="K583" s="8"/>
      <c r="L583" s="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5"/>
      <c r="C584" s="1"/>
      <c r="D584" s="46"/>
      <c r="E584" s="1"/>
      <c r="F584" s="1"/>
      <c r="G584" s="5"/>
      <c r="H584" s="1"/>
      <c r="I584" s="40"/>
      <c r="J584" s="8"/>
      <c r="K584" s="8"/>
      <c r="L584" s="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5"/>
      <c r="C585" s="1"/>
      <c r="D585" s="46"/>
      <c r="E585" s="1"/>
      <c r="F585" s="1"/>
      <c r="G585" s="5"/>
      <c r="H585" s="1"/>
      <c r="I585" s="40"/>
      <c r="J585" s="8"/>
      <c r="K585" s="8"/>
      <c r="L585" s="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5"/>
      <c r="C586" s="1"/>
      <c r="D586" s="46"/>
      <c r="E586" s="1"/>
      <c r="F586" s="1"/>
      <c r="G586" s="5"/>
      <c r="H586" s="1"/>
      <c r="I586" s="40"/>
      <c r="J586" s="8"/>
      <c r="K586" s="8"/>
      <c r="L586" s="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5"/>
      <c r="C587" s="1"/>
      <c r="D587" s="46"/>
      <c r="E587" s="1"/>
      <c r="F587" s="1"/>
      <c r="G587" s="5"/>
      <c r="H587" s="1"/>
      <c r="I587" s="40"/>
      <c r="J587" s="8"/>
      <c r="K587" s="8"/>
      <c r="L587" s="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5"/>
      <c r="C588" s="1"/>
      <c r="D588" s="46"/>
      <c r="E588" s="1"/>
      <c r="F588" s="1"/>
      <c r="G588" s="5"/>
      <c r="H588" s="1"/>
      <c r="I588" s="40"/>
      <c r="J588" s="8"/>
      <c r="K588" s="8"/>
      <c r="L588" s="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5"/>
      <c r="C589" s="1"/>
      <c r="D589" s="46"/>
      <c r="E589" s="1"/>
      <c r="F589" s="1"/>
      <c r="G589" s="5"/>
      <c r="H589" s="1"/>
      <c r="I589" s="40"/>
      <c r="J589" s="8"/>
      <c r="K589" s="8"/>
      <c r="L589" s="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5"/>
      <c r="C590" s="1"/>
      <c r="D590" s="46"/>
      <c r="E590" s="1"/>
      <c r="F590" s="1"/>
      <c r="G590" s="5"/>
      <c r="H590" s="1"/>
      <c r="I590" s="40"/>
      <c r="J590" s="8"/>
      <c r="K590" s="8"/>
      <c r="L590" s="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5"/>
      <c r="C591" s="1"/>
      <c r="D591" s="46"/>
      <c r="E591" s="1"/>
      <c r="F591" s="1"/>
      <c r="G591" s="5"/>
      <c r="H591" s="1"/>
      <c r="I591" s="40"/>
      <c r="J591" s="8"/>
      <c r="K591" s="8"/>
      <c r="L591" s="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5"/>
      <c r="C592" s="1"/>
      <c r="D592" s="46"/>
      <c r="E592" s="1"/>
      <c r="F592" s="1"/>
      <c r="G592" s="5"/>
      <c r="H592" s="1"/>
      <c r="I592" s="40"/>
      <c r="J592" s="8"/>
      <c r="K592" s="8"/>
      <c r="L592" s="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5"/>
      <c r="C593" s="1"/>
      <c r="D593" s="46"/>
      <c r="E593" s="1"/>
      <c r="F593" s="1"/>
      <c r="G593" s="5"/>
      <c r="H593" s="1"/>
      <c r="I593" s="40"/>
      <c r="J593" s="8"/>
      <c r="K593" s="8"/>
      <c r="L593" s="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5"/>
      <c r="C594" s="1"/>
      <c r="D594" s="46"/>
      <c r="E594" s="1"/>
      <c r="F594" s="1"/>
      <c r="G594" s="5"/>
      <c r="H594" s="1"/>
      <c r="I594" s="40"/>
      <c r="J594" s="8"/>
      <c r="K594" s="8"/>
      <c r="L594" s="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5"/>
      <c r="C595" s="1"/>
      <c r="D595" s="46"/>
      <c r="E595" s="1"/>
      <c r="F595" s="1"/>
      <c r="G595" s="5"/>
      <c r="H595" s="1"/>
      <c r="I595" s="40"/>
      <c r="J595" s="8"/>
      <c r="K595" s="8"/>
      <c r="L595" s="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5"/>
      <c r="C596" s="1"/>
      <c r="D596" s="46"/>
      <c r="E596" s="1"/>
      <c r="F596" s="1"/>
      <c r="G596" s="5"/>
      <c r="H596" s="1"/>
      <c r="I596" s="40"/>
      <c r="J596" s="8"/>
      <c r="K596" s="8"/>
      <c r="L596" s="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5"/>
      <c r="C597" s="1"/>
      <c r="D597" s="46"/>
      <c r="E597" s="1"/>
      <c r="F597" s="1"/>
      <c r="G597" s="5"/>
      <c r="H597" s="1"/>
      <c r="I597" s="40"/>
      <c r="J597" s="8"/>
      <c r="K597" s="8"/>
      <c r="L597" s="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5"/>
      <c r="C598" s="1"/>
      <c r="D598" s="46"/>
      <c r="E598" s="1"/>
      <c r="F598" s="1"/>
      <c r="G598" s="5"/>
      <c r="H598" s="1"/>
      <c r="I598" s="40"/>
      <c r="J598" s="8"/>
      <c r="K598" s="8"/>
      <c r="L598" s="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5"/>
      <c r="C599" s="1"/>
      <c r="D599" s="46"/>
      <c r="E599" s="1"/>
      <c r="F599" s="1"/>
      <c r="G599" s="5"/>
      <c r="H599" s="1"/>
      <c r="I599" s="40"/>
      <c r="J599" s="8"/>
      <c r="K599" s="8"/>
      <c r="L599" s="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5"/>
      <c r="C600" s="1"/>
      <c r="D600" s="46"/>
      <c r="E600" s="1"/>
      <c r="F600" s="1"/>
      <c r="G600" s="5"/>
      <c r="H600" s="1"/>
      <c r="I600" s="40"/>
      <c r="J600" s="8"/>
      <c r="K600" s="8"/>
      <c r="L600" s="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5"/>
      <c r="C601" s="1"/>
      <c r="D601" s="46"/>
      <c r="E601" s="1"/>
      <c r="F601" s="1"/>
      <c r="G601" s="5"/>
      <c r="H601" s="1"/>
      <c r="I601" s="40"/>
      <c r="J601" s="8"/>
      <c r="K601" s="8"/>
      <c r="L601" s="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5"/>
      <c r="C602" s="1"/>
      <c r="D602" s="46"/>
      <c r="E602" s="1"/>
      <c r="F602" s="1"/>
      <c r="G602" s="5"/>
      <c r="H602" s="1"/>
      <c r="I602" s="40"/>
      <c r="J602" s="8"/>
      <c r="K602" s="8"/>
      <c r="L602" s="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5"/>
      <c r="C603" s="1"/>
      <c r="D603" s="46"/>
      <c r="E603" s="1"/>
      <c r="F603" s="1"/>
      <c r="G603" s="5"/>
      <c r="H603" s="1"/>
      <c r="I603" s="40"/>
      <c r="J603" s="8"/>
      <c r="K603" s="8"/>
      <c r="L603" s="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5"/>
      <c r="C604" s="1"/>
      <c r="D604" s="46"/>
      <c r="E604" s="1"/>
      <c r="F604" s="1"/>
      <c r="G604" s="5"/>
      <c r="H604" s="1"/>
      <c r="I604" s="40"/>
      <c r="J604" s="8"/>
      <c r="K604" s="8"/>
      <c r="L604" s="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5"/>
      <c r="C605" s="1"/>
      <c r="D605" s="46"/>
      <c r="E605" s="1"/>
      <c r="F605" s="1"/>
      <c r="G605" s="5"/>
      <c r="H605" s="1"/>
      <c r="I605" s="40"/>
      <c r="J605" s="8"/>
      <c r="K605" s="8"/>
      <c r="L605" s="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5"/>
      <c r="C606" s="1"/>
      <c r="D606" s="46"/>
      <c r="E606" s="1"/>
      <c r="F606" s="1"/>
      <c r="G606" s="5"/>
      <c r="H606" s="1"/>
      <c r="I606" s="40"/>
      <c r="J606" s="8"/>
      <c r="K606" s="8"/>
      <c r="L606" s="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5"/>
      <c r="C607" s="1"/>
      <c r="D607" s="46"/>
      <c r="E607" s="1"/>
      <c r="F607" s="1"/>
      <c r="G607" s="5"/>
      <c r="H607" s="1"/>
      <c r="I607" s="40"/>
      <c r="J607" s="8"/>
      <c r="K607" s="8"/>
      <c r="L607" s="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5"/>
      <c r="C608" s="1"/>
      <c r="D608" s="46"/>
      <c r="E608" s="1"/>
      <c r="F608" s="1"/>
      <c r="G608" s="5"/>
      <c r="H608" s="1"/>
      <c r="I608" s="40"/>
      <c r="J608" s="8"/>
      <c r="K608" s="8"/>
      <c r="L608" s="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5"/>
      <c r="C609" s="1"/>
      <c r="D609" s="46"/>
      <c r="E609" s="1"/>
      <c r="F609" s="1"/>
      <c r="G609" s="5"/>
      <c r="H609" s="1"/>
      <c r="I609" s="40"/>
      <c r="J609" s="8"/>
      <c r="K609" s="8"/>
      <c r="L609" s="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5"/>
      <c r="C610" s="1"/>
      <c r="D610" s="46"/>
      <c r="E610" s="1"/>
      <c r="F610" s="1"/>
      <c r="G610" s="5"/>
      <c r="H610" s="1"/>
      <c r="I610" s="40"/>
      <c r="J610" s="8"/>
      <c r="K610" s="8"/>
      <c r="L610" s="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5"/>
      <c r="C611" s="1"/>
      <c r="D611" s="46"/>
      <c r="E611" s="1"/>
      <c r="F611" s="1"/>
      <c r="G611" s="5"/>
      <c r="H611" s="1"/>
      <c r="I611" s="40"/>
      <c r="J611" s="8"/>
      <c r="K611" s="8"/>
      <c r="L611" s="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5"/>
      <c r="C612" s="1"/>
      <c r="D612" s="46"/>
      <c r="E612" s="1"/>
      <c r="F612" s="1"/>
      <c r="G612" s="5"/>
      <c r="H612" s="1"/>
      <c r="I612" s="40"/>
      <c r="J612" s="8"/>
      <c r="K612" s="8"/>
      <c r="L612" s="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5"/>
      <c r="C613" s="1"/>
      <c r="D613" s="46"/>
      <c r="E613" s="1"/>
      <c r="F613" s="1"/>
      <c r="G613" s="5"/>
      <c r="H613" s="1"/>
      <c r="I613" s="40"/>
      <c r="J613" s="8"/>
      <c r="K613" s="8"/>
      <c r="L613" s="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5"/>
      <c r="C614" s="1"/>
      <c r="D614" s="46"/>
      <c r="E614" s="1"/>
      <c r="F614" s="1"/>
      <c r="G614" s="5"/>
      <c r="H614" s="1"/>
      <c r="I614" s="40"/>
      <c r="J614" s="8"/>
      <c r="K614" s="8"/>
      <c r="L614" s="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5"/>
      <c r="C615" s="1"/>
      <c r="D615" s="46"/>
      <c r="E615" s="1"/>
      <c r="F615" s="1"/>
      <c r="G615" s="5"/>
      <c r="H615" s="1"/>
      <c r="I615" s="40"/>
      <c r="J615" s="8"/>
      <c r="K615" s="8"/>
      <c r="L615" s="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5"/>
      <c r="C616" s="1"/>
      <c r="D616" s="46"/>
      <c r="E616" s="1"/>
      <c r="F616" s="1"/>
      <c r="G616" s="5"/>
      <c r="H616" s="1"/>
      <c r="I616" s="40"/>
      <c r="J616" s="8"/>
      <c r="K616" s="8"/>
      <c r="L616" s="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5"/>
      <c r="C617" s="1"/>
      <c r="D617" s="46"/>
      <c r="E617" s="1"/>
      <c r="F617" s="1"/>
      <c r="G617" s="5"/>
      <c r="H617" s="1"/>
      <c r="I617" s="40"/>
      <c r="J617" s="8"/>
      <c r="K617" s="8"/>
      <c r="L617" s="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5"/>
      <c r="C618" s="1"/>
      <c r="D618" s="46"/>
      <c r="E618" s="1"/>
      <c r="F618" s="1"/>
      <c r="G618" s="5"/>
      <c r="H618" s="1"/>
      <c r="I618" s="40"/>
      <c r="J618" s="8"/>
      <c r="K618" s="8"/>
      <c r="L618" s="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5"/>
      <c r="C619" s="1"/>
      <c r="D619" s="46"/>
      <c r="E619" s="1"/>
      <c r="F619" s="1"/>
      <c r="G619" s="5"/>
      <c r="H619" s="1"/>
      <c r="I619" s="40"/>
      <c r="J619" s="8"/>
      <c r="K619" s="8"/>
      <c r="L619" s="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5"/>
      <c r="C620" s="1"/>
      <c r="D620" s="46"/>
      <c r="E620" s="1"/>
      <c r="F620" s="1"/>
      <c r="G620" s="5"/>
      <c r="H620" s="1"/>
      <c r="I620" s="40"/>
      <c r="J620" s="8"/>
      <c r="K620" s="8"/>
      <c r="L620" s="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5"/>
      <c r="C621" s="1"/>
      <c r="D621" s="46"/>
      <c r="E621" s="1"/>
      <c r="F621" s="1"/>
      <c r="G621" s="5"/>
      <c r="H621" s="1"/>
      <c r="I621" s="40"/>
      <c r="J621" s="8"/>
      <c r="K621" s="8"/>
      <c r="L621" s="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5"/>
      <c r="C622" s="1"/>
      <c r="D622" s="46"/>
      <c r="E622" s="1"/>
      <c r="F622" s="1"/>
      <c r="G622" s="5"/>
      <c r="H622" s="1"/>
      <c r="I622" s="40"/>
      <c r="J622" s="8"/>
      <c r="K622" s="8"/>
      <c r="L622" s="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5"/>
      <c r="C623" s="1"/>
      <c r="D623" s="46"/>
      <c r="E623" s="1"/>
      <c r="F623" s="1"/>
      <c r="G623" s="5"/>
      <c r="H623" s="1"/>
      <c r="I623" s="40"/>
      <c r="J623" s="8"/>
      <c r="K623" s="8"/>
      <c r="L623" s="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5"/>
      <c r="C624" s="1"/>
      <c r="D624" s="46"/>
      <c r="E624" s="1"/>
      <c r="F624" s="1"/>
      <c r="G624" s="5"/>
      <c r="H624" s="1"/>
      <c r="I624" s="40"/>
      <c r="J624" s="8"/>
      <c r="K624" s="8"/>
      <c r="L624" s="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5"/>
      <c r="C625" s="1"/>
      <c r="D625" s="46"/>
      <c r="E625" s="1"/>
      <c r="F625" s="1"/>
      <c r="G625" s="5"/>
      <c r="H625" s="1"/>
      <c r="I625" s="40"/>
      <c r="J625" s="8"/>
      <c r="K625" s="8"/>
      <c r="L625" s="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5"/>
      <c r="C626" s="1"/>
      <c r="D626" s="46"/>
      <c r="E626" s="1"/>
      <c r="F626" s="1"/>
      <c r="G626" s="5"/>
      <c r="H626" s="1"/>
      <c r="I626" s="40"/>
      <c r="J626" s="8"/>
      <c r="K626" s="8"/>
      <c r="L626" s="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5"/>
      <c r="C627" s="1"/>
      <c r="D627" s="46"/>
      <c r="E627" s="1"/>
      <c r="F627" s="1"/>
      <c r="G627" s="5"/>
      <c r="H627" s="1"/>
      <c r="I627" s="40"/>
      <c r="J627" s="8"/>
      <c r="K627" s="8"/>
      <c r="L627" s="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5"/>
      <c r="C628" s="1"/>
      <c r="D628" s="46"/>
      <c r="E628" s="1"/>
      <c r="F628" s="1"/>
      <c r="G628" s="5"/>
      <c r="H628" s="1"/>
      <c r="I628" s="40"/>
      <c r="J628" s="8"/>
      <c r="K628" s="8"/>
      <c r="L628" s="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5"/>
      <c r="C629" s="1"/>
      <c r="D629" s="46"/>
      <c r="E629" s="1"/>
      <c r="F629" s="1"/>
      <c r="G629" s="5"/>
      <c r="H629" s="1"/>
      <c r="I629" s="40"/>
      <c r="J629" s="8"/>
      <c r="K629" s="8"/>
      <c r="L629" s="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5"/>
      <c r="C630" s="1"/>
      <c r="D630" s="46"/>
      <c r="E630" s="1"/>
      <c r="F630" s="1"/>
      <c r="G630" s="5"/>
      <c r="H630" s="1"/>
      <c r="I630" s="40"/>
      <c r="J630" s="8"/>
      <c r="K630" s="8"/>
      <c r="L630" s="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5"/>
      <c r="C631" s="1"/>
      <c r="D631" s="46"/>
      <c r="E631" s="1"/>
      <c r="F631" s="1"/>
      <c r="G631" s="5"/>
      <c r="H631" s="1"/>
      <c r="I631" s="40"/>
      <c r="J631" s="8"/>
      <c r="K631" s="8"/>
      <c r="L631" s="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5"/>
      <c r="C632" s="1"/>
      <c r="D632" s="46"/>
      <c r="E632" s="1"/>
      <c r="F632" s="1"/>
      <c r="G632" s="5"/>
      <c r="H632" s="1"/>
      <c r="I632" s="40"/>
      <c r="J632" s="8"/>
      <c r="K632" s="8"/>
      <c r="L632" s="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5"/>
      <c r="C633" s="1"/>
      <c r="D633" s="46"/>
      <c r="E633" s="1"/>
      <c r="F633" s="1"/>
      <c r="G633" s="5"/>
      <c r="H633" s="1"/>
      <c r="I633" s="40"/>
      <c r="J633" s="8"/>
      <c r="K633" s="8"/>
      <c r="L633" s="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5"/>
      <c r="C634" s="1"/>
      <c r="D634" s="46"/>
      <c r="E634" s="1"/>
      <c r="F634" s="1"/>
      <c r="G634" s="5"/>
      <c r="H634" s="1"/>
      <c r="I634" s="40"/>
      <c r="J634" s="8"/>
      <c r="K634" s="8"/>
      <c r="L634" s="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5"/>
      <c r="C635" s="1"/>
      <c r="D635" s="46"/>
      <c r="E635" s="1"/>
      <c r="F635" s="1"/>
      <c r="G635" s="5"/>
      <c r="H635" s="1"/>
      <c r="I635" s="40"/>
      <c r="J635" s="8"/>
      <c r="K635" s="8"/>
      <c r="L635" s="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5"/>
      <c r="C636" s="1"/>
      <c r="D636" s="46"/>
      <c r="E636" s="1"/>
      <c r="F636" s="1"/>
      <c r="G636" s="5"/>
      <c r="H636" s="1"/>
      <c r="I636" s="40"/>
      <c r="J636" s="8"/>
      <c r="K636" s="8"/>
      <c r="L636" s="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5"/>
      <c r="C637" s="1"/>
      <c r="D637" s="46"/>
      <c r="E637" s="1"/>
      <c r="F637" s="1"/>
      <c r="G637" s="5"/>
      <c r="H637" s="1"/>
      <c r="I637" s="40"/>
      <c r="J637" s="8"/>
      <c r="K637" s="8"/>
      <c r="L637" s="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5"/>
      <c r="C638" s="1"/>
      <c r="D638" s="46"/>
      <c r="E638" s="1"/>
      <c r="F638" s="1"/>
      <c r="G638" s="5"/>
      <c r="H638" s="1"/>
      <c r="I638" s="40"/>
      <c r="J638" s="8"/>
      <c r="K638" s="8"/>
      <c r="L638" s="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5"/>
      <c r="C639" s="1"/>
      <c r="D639" s="46"/>
      <c r="E639" s="1"/>
      <c r="F639" s="1"/>
      <c r="G639" s="5"/>
      <c r="H639" s="1"/>
      <c r="I639" s="40"/>
      <c r="J639" s="8"/>
      <c r="K639" s="8"/>
      <c r="L639" s="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5"/>
      <c r="C640" s="1"/>
      <c r="D640" s="46"/>
      <c r="E640" s="1"/>
      <c r="F640" s="1"/>
      <c r="G640" s="5"/>
      <c r="H640" s="1"/>
      <c r="I640" s="40"/>
      <c r="J640" s="8"/>
      <c r="K640" s="8"/>
      <c r="L640" s="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5"/>
      <c r="C641" s="1"/>
      <c r="D641" s="46"/>
      <c r="E641" s="1"/>
      <c r="F641" s="1"/>
      <c r="G641" s="5"/>
      <c r="H641" s="1"/>
      <c r="I641" s="40"/>
      <c r="J641" s="8"/>
      <c r="K641" s="8"/>
      <c r="L641" s="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5"/>
      <c r="C642" s="1"/>
      <c r="D642" s="46"/>
      <c r="E642" s="1"/>
      <c r="F642" s="1"/>
      <c r="G642" s="5"/>
      <c r="H642" s="1"/>
      <c r="I642" s="40"/>
      <c r="J642" s="8"/>
      <c r="K642" s="8"/>
      <c r="L642" s="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5"/>
      <c r="C643" s="1"/>
      <c r="D643" s="46"/>
      <c r="E643" s="1"/>
      <c r="F643" s="1"/>
      <c r="G643" s="5"/>
      <c r="H643" s="1"/>
      <c r="I643" s="40"/>
      <c r="J643" s="8"/>
      <c r="K643" s="8"/>
      <c r="L643" s="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5"/>
      <c r="C644" s="1"/>
      <c r="D644" s="46"/>
      <c r="E644" s="1"/>
      <c r="F644" s="1"/>
      <c r="G644" s="5"/>
      <c r="H644" s="1"/>
      <c r="I644" s="40"/>
      <c r="J644" s="8"/>
      <c r="K644" s="8"/>
      <c r="L644" s="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5"/>
      <c r="C645" s="1"/>
      <c r="D645" s="46"/>
      <c r="E645" s="1"/>
      <c r="F645" s="1"/>
      <c r="G645" s="5"/>
      <c r="H645" s="1"/>
      <c r="I645" s="40"/>
      <c r="J645" s="8"/>
      <c r="K645" s="8"/>
      <c r="L645" s="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5"/>
      <c r="C646" s="1"/>
      <c r="D646" s="46"/>
      <c r="E646" s="1"/>
      <c r="F646" s="1"/>
      <c r="G646" s="5"/>
      <c r="H646" s="1"/>
      <c r="I646" s="40"/>
      <c r="J646" s="8"/>
      <c r="K646" s="8"/>
      <c r="L646" s="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5"/>
      <c r="C647" s="1"/>
      <c r="D647" s="46"/>
      <c r="E647" s="1"/>
      <c r="F647" s="1"/>
      <c r="G647" s="5"/>
      <c r="H647" s="1"/>
      <c r="I647" s="40"/>
      <c r="J647" s="8"/>
      <c r="K647" s="8"/>
      <c r="L647" s="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5"/>
      <c r="C648" s="1"/>
      <c r="D648" s="46"/>
      <c r="E648" s="1"/>
      <c r="F648" s="1"/>
      <c r="G648" s="5"/>
      <c r="H648" s="1"/>
      <c r="I648" s="40"/>
      <c r="J648" s="8"/>
      <c r="K648" s="8"/>
      <c r="L648" s="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5"/>
      <c r="C649" s="1"/>
      <c r="D649" s="46"/>
      <c r="E649" s="1"/>
      <c r="F649" s="1"/>
      <c r="G649" s="5"/>
      <c r="H649" s="1"/>
      <c r="I649" s="40"/>
      <c r="J649" s="8"/>
      <c r="K649" s="8"/>
      <c r="L649" s="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5"/>
      <c r="C650" s="1"/>
      <c r="D650" s="46"/>
      <c r="E650" s="1"/>
      <c r="F650" s="1"/>
      <c r="G650" s="5"/>
      <c r="H650" s="1"/>
      <c r="I650" s="40"/>
      <c r="J650" s="8"/>
      <c r="K650" s="8"/>
      <c r="L650" s="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5"/>
      <c r="C651" s="1"/>
      <c r="D651" s="46"/>
      <c r="E651" s="1"/>
      <c r="F651" s="1"/>
      <c r="G651" s="5"/>
      <c r="H651" s="1"/>
      <c r="I651" s="40"/>
      <c r="J651" s="8"/>
      <c r="K651" s="8"/>
      <c r="L651" s="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5"/>
      <c r="C652" s="1"/>
      <c r="D652" s="46"/>
      <c r="E652" s="1"/>
      <c r="F652" s="1"/>
      <c r="G652" s="5"/>
      <c r="H652" s="1"/>
      <c r="I652" s="40"/>
      <c r="J652" s="8"/>
      <c r="K652" s="8"/>
      <c r="L652" s="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5"/>
      <c r="C653" s="1"/>
      <c r="D653" s="46"/>
      <c r="E653" s="1"/>
      <c r="F653" s="1"/>
      <c r="G653" s="5"/>
      <c r="H653" s="1"/>
      <c r="I653" s="40"/>
      <c r="J653" s="8"/>
      <c r="K653" s="8"/>
      <c r="L653" s="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5"/>
      <c r="C654" s="1"/>
      <c r="D654" s="46"/>
      <c r="E654" s="1"/>
      <c r="F654" s="1"/>
      <c r="G654" s="5"/>
      <c r="H654" s="1"/>
      <c r="I654" s="40"/>
      <c r="J654" s="8"/>
      <c r="K654" s="8"/>
      <c r="L654" s="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5"/>
      <c r="C655" s="1"/>
      <c r="D655" s="46"/>
      <c r="E655" s="1"/>
      <c r="F655" s="1"/>
      <c r="G655" s="5"/>
      <c r="H655" s="1"/>
      <c r="I655" s="40"/>
      <c r="J655" s="8"/>
      <c r="K655" s="8"/>
      <c r="L655" s="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5"/>
      <c r="C656" s="1"/>
      <c r="D656" s="46"/>
      <c r="E656" s="1"/>
      <c r="F656" s="1"/>
      <c r="G656" s="5"/>
      <c r="H656" s="1"/>
      <c r="I656" s="40"/>
      <c r="J656" s="8"/>
      <c r="K656" s="8"/>
      <c r="L656" s="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5"/>
      <c r="C657" s="1"/>
      <c r="D657" s="46"/>
      <c r="E657" s="1"/>
      <c r="F657" s="1"/>
      <c r="G657" s="5"/>
      <c r="H657" s="1"/>
      <c r="I657" s="40"/>
      <c r="J657" s="8"/>
      <c r="K657" s="8"/>
      <c r="L657" s="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5"/>
      <c r="C658" s="1"/>
      <c r="D658" s="46"/>
      <c r="E658" s="1"/>
      <c r="F658" s="1"/>
      <c r="G658" s="5"/>
      <c r="H658" s="1"/>
      <c r="I658" s="40"/>
      <c r="J658" s="8"/>
      <c r="K658" s="8"/>
      <c r="L658" s="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5"/>
      <c r="C659" s="1"/>
      <c r="D659" s="46"/>
      <c r="E659" s="1"/>
      <c r="F659" s="1"/>
      <c r="G659" s="5"/>
      <c r="H659" s="1"/>
      <c r="I659" s="40"/>
      <c r="J659" s="8"/>
      <c r="K659" s="8"/>
      <c r="L659" s="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5"/>
      <c r="C660" s="1"/>
      <c r="D660" s="46"/>
      <c r="E660" s="1"/>
      <c r="F660" s="1"/>
      <c r="G660" s="5"/>
      <c r="H660" s="1"/>
      <c r="I660" s="40"/>
      <c r="J660" s="8"/>
      <c r="K660" s="8"/>
      <c r="L660" s="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5"/>
      <c r="C661" s="1"/>
      <c r="D661" s="46"/>
      <c r="E661" s="1"/>
      <c r="F661" s="1"/>
      <c r="G661" s="5"/>
      <c r="H661" s="1"/>
      <c r="I661" s="40"/>
      <c r="J661" s="8"/>
      <c r="K661" s="8"/>
      <c r="L661" s="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5"/>
      <c r="C662" s="1"/>
      <c r="D662" s="46"/>
      <c r="E662" s="1"/>
      <c r="F662" s="1"/>
      <c r="G662" s="5"/>
      <c r="H662" s="1"/>
      <c r="I662" s="40"/>
      <c r="J662" s="8"/>
      <c r="K662" s="8"/>
      <c r="L662" s="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5"/>
      <c r="C663" s="1"/>
      <c r="D663" s="46"/>
      <c r="E663" s="1"/>
      <c r="F663" s="1"/>
      <c r="G663" s="5"/>
      <c r="H663" s="1"/>
      <c r="I663" s="40"/>
      <c r="J663" s="8"/>
      <c r="K663" s="8"/>
      <c r="L663" s="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5"/>
      <c r="C664" s="1"/>
      <c r="D664" s="46"/>
      <c r="E664" s="1"/>
      <c r="F664" s="1"/>
      <c r="G664" s="5"/>
      <c r="H664" s="1"/>
      <c r="I664" s="40"/>
      <c r="J664" s="8"/>
      <c r="K664" s="8"/>
      <c r="L664" s="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5"/>
      <c r="C665" s="1"/>
      <c r="D665" s="46"/>
      <c r="E665" s="1"/>
      <c r="F665" s="1"/>
      <c r="G665" s="5"/>
      <c r="H665" s="1"/>
      <c r="I665" s="40"/>
      <c r="J665" s="8"/>
      <c r="K665" s="8"/>
      <c r="L665" s="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5"/>
      <c r="C666" s="1"/>
      <c r="D666" s="46"/>
      <c r="E666" s="1"/>
      <c r="F666" s="1"/>
      <c r="G666" s="5"/>
      <c r="H666" s="1"/>
      <c r="I666" s="40"/>
      <c r="J666" s="8"/>
      <c r="K666" s="8"/>
      <c r="L666" s="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5"/>
      <c r="C667" s="1"/>
      <c r="D667" s="46"/>
      <c r="E667" s="1"/>
      <c r="F667" s="1"/>
      <c r="G667" s="5"/>
      <c r="H667" s="1"/>
      <c r="I667" s="40"/>
      <c r="J667" s="8"/>
      <c r="K667" s="8"/>
      <c r="L667" s="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5"/>
      <c r="C668" s="1"/>
      <c r="D668" s="46"/>
      <c r="E668" s="1"/>
      <c r="F668" s="1"/>
      <c r="G668" s="5"/>
      <c r="H668" s="1"/>
      <c r="I668" s="40"/>
      <c r="J668" s="8"/>
      <c r="K668" s="8"/>
      <c r="L668" s="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5"/>
      <c r="C669" s="1"/>
      <c r="D669" s="46"/>
      <c r="E669" s="1"/>
      <c r="F669" s="1"/>
      <c r="G669" s="5"/>
      <c r="H669" s="1"/>
      <c r="I669" s="40"/>
      <c r="J669" s="8"/>
      <c r="K669" s="8"/>
      <c r="L669" s="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5"/>
      <c r="C670" s="1"/>
      <c r="D670" s="46"/>
      <c r="E670" s="1"/>
      <c r="F670" s="1"/>
      <c r="G670" s="5"/>
      <c r="H670" s="1"/>
      <c r="I670" s="40"/>
      <c r="J670" s="8"/>
      <c r="K670" s="8"/>
      <c r="L670" s="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5"/>
      <c r="C671" s="1"/>
      <c r="D671" s="46"/>
      <c r="E671" s="1"/>
      <c r="F671" s="1"/>
      <c r="G671" s="5"/>
      <c r="H671" s="1"/>
      <c r="I671" s="40"/>
      <c r="J671" s="8"/>
      <c r="K671" s="8"/>
      <c r="L671" s="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5"/>
      <c r="C672" s="1"/>
      <c r="D672" s="46"/>
      <c r="E672" s="1"/>
      <c r="F672" s="1"/>
      <c r="G672" s="5"/>
      <c r="H672" s="1"/>
      <c r="I672" s="40"/>
      <c r="J672" s="8"/>
      <c r="K672" s="8"/>
      <c r="L672" s="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5"/>
      <c r="C673" s="1"/>
      <c r="D673" s="46"/>
      <c r="E673" s="1"/>
      <c r="F673" s="1"/>
      <c r="G673" s="5"/>
      <c r="H673" s="1"/>
      <c r="I673" s="40"/>
      <c r="J673" s="8"/>
      <c r="K673" s="8"/>
      <c r="L673" s="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5"/>
      <c r="C674" s="1"/>
      <c r="D674" s="46"/>
      <c r="E674" s="1"/>
      <c r="F674" s="1"/>
      <c r="G674" s="5"/>
      <c r="H674" s="1"/>
      <c r="I674" s="40"/>
      <c r="J674" s="8"/>
      <c r="K674" s="8"/>
      <c r="L674" s="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5"/>
      <c r="C675" s="1"/>
      <c r="D675" s="46"/>
      <c r="E675" s="1"/>
      <c r="F675" s="1"/>
      <c r="G675" s="5"/>
      <c r="H675" s="1"/>
      <c r="I675" s="40"/>
      <c r="J675" s="8"/>
      <c r="K675" s="8"/>
      <c r="L675" s="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5"/>
      <c r="C676" s="1"/>
      <c r="D676" s="46"/>
      <c r="E676" s="1"/>
      <c r="F676" s="1"/>
      <c r="G676" s="5"/>
      <c r="H676" s="1"/>
      <c r="I676" s="40"/>
      <c r="J676" s="8"/>
      <c r="K676" s="8"/>
      <c r="L676" s="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5"/>
      <c r="C677" s="1"/>
      <c r="D677" s="46"/>
      <c r="E677" s="1"/>
      <c r="F677" s="1"/>
      <c r="G677" s="5"/>
      <c r="H677" s="1"/>
      <c r="I677" s="40"/>
      <c r="J677" s="8"/>
      <c r="K677" s="8"/>
      <c r="L677" s="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5"/>
      <c r="C678" s="1"/>
      <c r="D678" s="46"/>
      <c r="E678" s="1"/>
      <c r="F678" s="1"/>
      <c r="G678" s="5"/>
      <c r="H678" s="1"/>
      <c r="I678" s="40"/>
      <c r="J678" s="8"/>
      <c r="K678" s="8"/>
      <c r="L678" s="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5"/>
      <c r="C679" s="1"/>
      <c r="D679" s="46"/>
      <c r="E679" s="1"/>
      <c r="F679" s="1"/>
      <c r="G679" s="5"/>
      <c r="H679" s="1"/>
      <c r="I679" s="40"/>
      <c r="J679" s="8"/>
      <c r="K679" s="8"/>
      <c r="L679" s="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5"/>
      <c r="C680" s="1"/>
      <c r="D680" s="46"/>
      <c r="E680" s="1"/>
      <c r="F680" s="1"/>
      <c r="G680" s="5"/>
      <c r="H680" s="1"/>
      <c r="I680" s="40"/>
      <c r="J680" s="8"/>
      <c r="K680" s="8"/>
      <c r="L680" s="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5"/>
      <c r="C681" s="1"/>
      <c r="D681" s="46"/>
      <c r="E681" s="1"/>
      <c r="F681" s="1"/>
      <c r="G681" s="5"/>
      <c r="H681" s="1"/>
      <c r="I681" s="40"/>
      <c r="J681" s="8"/>
      <c r="K681" s="8"/>
      <c r="L681" s="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5"/>
      <c r="C682" s="1"/>
      <c r="D682" s="46"/>
      <c r="E682" s="1"/>
      <c r="F682" s="1"/>
      <c r="G682" s="5"/>
      <c r="H682" s="1"/>
      <c r="I682" s="40"/>
      <c r="J682" s="8"/>
      <c r="K682" s="8"/>
      <c r="L682" s="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5"/>
      <c r="C683" s="1"/>
      <c r="D683" s="46"/>
      <c r="E683" s="1"/>
      <c r="F683" s="1"/>
      <c r="G683" s="5"/>
      <c r="H683" s="1"/>
      <c r="I683" s="40"/>
      <c r="J683" s="8"/>
      <c r="K683" s="8"/>
      <c r="L683" s="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5"/>
      <c r="C684" s="1"/>
      <c r="D684" s="46"/>
      <c r="E684" s="1"/>
      <c r="F684" s="1"/>
      <c r="G684" s="5"/>
      <c r="H684" s="1"/>
      <c r="I684" s="40"/>
      <c r="J684" s="8"/>
      <c r="K684" s="8"/>
      <c r="L684" s="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5"/>
      <c r="C685" s="1"/>
      <c r="D685" s="46"/>
      <c r="E685" s="1"/>
      <c r="F685" s="1"/>
      <c r="G685" s="5"/>
      <c r="H685" s="1"/>
      <c r="I685" s="40"/>
      <c r="J685" s="8"/>
      <c r="K685" s="8"/>
      <c r="L685" s="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5"/>
      <c r="C686" s="1"/>
      <c r="D686" s="46"/>
      <c r="E686" s="1"/>
      <c r="F686" s="1"/>
      <c r="G686" s="5"/>
      <c r="H686" s="1"/>
      <c r="I686" s="40"/>
      <c r="J686" s="8"/>
      <c r="K686" s="8"/>
      <c r="L686" s="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5"/>
      <c r="C687" s="1"/>
      <c r="D687" s="46"/>
      <c r="E687" s="1"/>
      <c r="F687" s="1"/>
      <c r="G687" s="5"/>
      <c r="H687" s="1"/>
      <c r="I687" s="40"/>
      <c r="J687" s="8"/>
      <c r="K687" s="8"/>
      <c r="L687" s="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5"/>
      <c r="C688" s="1"/>
      <c r="D688" s="46"/>
      <c r="E688" s="1"/>
      <c r="F688" s="1"/>
      <c r="G688" s="5"/>
      <c r="H688" s="1"/>
      <c r="I688" s="40"/>
      <c r="J688" s="8"/>
      <c r="K688" s="8"/>
      <c r="L688" s="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5"/>
      <c r="C689" s="1"/>
      <c r="D689" s="46"/>
      <c r="E689" s="1"/>
      <c r="F689" s="1"/>
      <c r="G689" s="5"/>
      <c r="H689" s="1"/>
      <c r="I689" s="40"/>
      <c r="J689" s="8"/>
      <c r="K689" s="8"/>
      <c r="L689" s="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5"/>
      <c r="C690" s="1"/>
      <c r="D690" s="46"/>
      <c r="E690" s="1"/>
      <c r="F690" s="1"/>
      <c r="G690" s="5"/>
      <c r="H690" s="1"/>
      <c r="I690" s="40"/>
      <c r="J690" s="8"/>
      <c r="K690" s="8"/>
      <c r="L690" s="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5"/>
      <c r="C691" s="1"/>
      <c r="D691" s="46"/>
      <c r="E691" s="1"/>
      <c r="F691" s="1"/>
      <c r="G691" s="5"/>
      <c r="H691" s="1"/>
      <c r="I691" s="40"/>
      <c r="J691" s="8"/>
      <c r="K691" s="8"/>
      <c r="L691" s="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5"/>
      <c r="C692" s="1"/>
      <c r="D692" s="46"/>
      <c r="E692" s="1"/>
      <c r="F692" s="1"/>
      <c r="G692" s="5"/>
      <c r="H692" s="1"/>
      <c r="I692" s="40"/>
      <c r="J692" s="8"/>
      <c r="K692" s="8"/>
      <c r="L692" s="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5"/>
      <c r="C693" s="1"/>
      <c r="D693" s="46"/>
      <c r="E693" s="1"/>
      <c r="F693" s="1"/>
      <c r="G693" s="5"/>
      <c r="H693" s="1"/>
      <c r="I693" s="40"/>
      <c r="J693" s="8"/>
      <c r="K693" s="8"/>
      <c r="L693" s="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5"/>
      <c r="C694" s="1"/>
      <c r="D694" s="46"/>
      <c r="E694" s="1"/>
      <c r="F694" s="1"/>
      <c r="G694" s="5"/>
      <c r="H694" s="1"/>
      <c r="I694" s="40"/>
      <c r="J694" s="8"/>
      <c r="K694" s="8"/>
      <c r="L694" s="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5"/>
      <c r="C695" s="1"/>
      <c r="D695" s="46"/>
      <c r="E695" s="1"/>
      <c r="F695" s="1"/>
      <c r="G695" s="5"/>
      <c r="H695" s="1"/>
      <c r="I695" s="40"/>
      <c r="J695" s="8"/>
      <c r="K695" s="8"/>
      <c r="L695" s="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5"/>
      <c r="C696" s="1"/>
      <c r="D696" s="46"/>
      <c r="E696" s="1"/>
      <c r="F696" s="1"/>
      <c r="G696" s="5"/>
      <c r="H696" s="1"/>
      <c r="I696" s="40"/>
      <c r="J696" s="8"/>
      <c r="K696" s="8"/>
      <c r="L696" s="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5"/>
      <c r="C697" s="1"/>
      <c r="D697" s="46"/>
      <c r="E697" s="1"/>
      <c r="F697" s="1"/>
      <c r="G697" s="5"/>
      <c r="H697" s="1"/>
      <c r="I697" s="40"/>
      <c r="J697" s="8"/>
      <c r="K697" s="8"/>
      <c r="L697" s="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5"/>
      <c r="C698" s="1"/>
      <c r="D698" s="46"/>
      <c r="E698" s="1"/>
      <c r="F698" s="1"/>
      <c r="G698" s="5"/>
      <c r="H698" s="1"/>
      <c r="I698" s="40"/>
      <c r="J698" s="8"/>
      <c r="K698" s="8"/>
      <c r="L698" s="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5"/>
      <c r="C699" s="1"/>
      <c r="D699" s="46"/>
      <c r="E699" s="1"/>
      <c r="F699" s="1"/>
      <c r="G699" s="5"/>
      <c r="H699" s="1"/>
      <c r="I699" s="40"/>
      <c r="J699" s="8"/>
      <c r="K699" s="8"/>
      <c r="L699" s="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5"/>
      <c r="C700" s="1"/>
      <c r="D700" s="46"/>
      <c r="E700" s="1"/>
      <c r="F700" s="1"/>
      <c r="G700" s="5"/>
      <c r="H700" s="1"/>
      <c r="I700" s="40"/>
      <c r="J700" s="8"/>
      <c r="K700" s="8"/>
      <c r="L700" s="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5"/>
      <c r="C701" s="1"/>
      <c r="D701" s="46"/>
      <c r="E701" s="1"/>
      <c r="F701" s="1"/>
      <c r="G701" s="5"/>
      <c r="H701" s="1"/>
      <c r="I701" s="40"/>
      <c r="J701" s="8"/>
      <c r="K701" s="8"/>
      <c r="L701" s="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5"/>
      <c r="C702" s="1"/>
      <c r="D702" s="46"/>
      <c r="E702" s="1"/>
      <c r="F702" s="1"/>
      <c r="G702" s="5"/>
      <c r="H702" s="1"/>
      <c r="I702" s="40"/>
      <c r="J702" s="8"/>
      <c r="K702" s="8"/>
      <c r="L702" s="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5"/>
      <c r="C703" s="1"/>
      <c r="D703" s="46"/>
      <c r="E703" s="1"/>
      <c r="F703" s="1"/>
      <c r="G703" s="5"/>
      <c r="H703" s="1"/>
      <c r="I703" s="40"/>
      <c r="J703" s="8"/>
      <c r="K703" s="8"/>
      <c r="L703" s="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5"/>
      <c r="C704" s="1"/>
      <c r="D704" s="46"/>
      <c r="E704" s="1"/>
      <c r="F704" s="1"/>
      <c r="G704" s="5"/>
      <c r="H704" s="1"/>
      <c r="I704" s="40"/>
      <c r="J704" s="8"/>
      <c r="K704" s="8"/>
      <c r="L704" s="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5"/>
      <c r="C705" s="1"/>
      <c r="D705" s="46"/>
      <c r="E705" s="1"/>
      <c r="F705" s="1"/>
      <c r="G705" s="5"/>
      <c r="H705" s="1"/>
      <c r="I705" s="40"/>
      <c r="J705" s="8"/>
      <c r="K705" s="8"/>
      <c r="L705" s="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5"/>
      <c r="C706" s="1"/>
      <c r="D706" s="46"/>
      <c r="E706" s="1"/>
      <c r="F706" s="1"/>
      <c r="G706" s="5"/>
      <c r="H706" s="1"/>
      <c r="I706" s="40"/>
      <c r="J706" s="8"/>
      <c r="K706" s="8"/>
      <c r="L706" s="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5"/>
      <c r="C707" s="1"/>
      <c r="D707" s="46"/>
      <c r="E707" s="1"/>
      <c r="F707" s="1"/>
      <c r="G707" s="5"/>
      <c r="H707" s="1"/>
      <c r="I707" s="40"/>
      <c r="J707" s="8"/>
      <c r="K707" s="8"/>
      <c r="L707" s="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5"/>
      <c r="C708" s="1"/>
      <c r="D708" s="46"/>
      <c r="E708" s="1"/>
      <c r="F708" s="1"/>
      <c r="G708" s="5"/>
      <c r="H708" s="1"/>
      <c r="I708" s="40"/>
      <c r="J708" s="8"/>
      <c r="K708" s="8"/>
      <c r="L708" s="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5"/>
      <c r="C709" s="1"/>
      <c r="D709" s="46"/>
      <c r="E709" s="1"/>
      <c r="F709" s="1"/>
      <c r="G709" s="5"/>
      <c r="H709" s="1"/>
      <c r="I709" s="40"/>
      <c r="J709" s="8"/>
      <c r="K709" s="8"/>
      <c r="L709" s="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5"/>
      <c r="C710" s="1"/>
      <c r="D710" s="46"/>
      <c r="E710" s="1"/>
      <c r="F710" s="1"/>
      <c r="G710" s="5"/>
      <c r="H710" s="1"/>
      <c r="I710" s="40"/>
      <c r="J710" s="8"/>
      <c r="K710" s="8"/>
      <c r="L710" s="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5"/>
      <c r="C711" s="1"/>
      <c r="D711" s="46"/>
      <c r="E711" s="1"/>
      <c r="F711" s="1"/>
      <c r="G711" s="5"/>
      <c r="H711" s="1"/>
      <c r="I711" s="40"/>
      <c r="J711" s="8"/>
      <c r="K711" s="8"/>
      <c r="L711" s="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5"/>
      <c r="C712" s="1"/>
      <c r="D712" s="46"/>
      <c r="E712" s="1"/>
      <c r="F712" s="1"/>
      <c r="G712" s="5"/>
      <c r="H712" s="1"/>
      <c r="I712" s="40"/>
      <c r="J712" s="8"/>
      <c r="K712" s="8"/>
      <c r="L712" s="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5"/>
      <c r="C713" s="1"/>
      <c r="D713" s="46"/>
      <c r="E713" s="1"/>
      <c r="F713" s="1"/>
      <c r="G713" s="5"/>
      <c r="H713" s="1"/>
      <c r="I713" s="40"/>
      <c r="J713" s="8"/>
      <c r="K713" s="8"/>
      <c r="L713" s="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5"/>
      <c r="C714" s="1"/>
      <c r="D714" s="46"/>
      <c r="E714" s="1"/>
      <c r="F714" s="1"/>
      <c r="G714" s="5"/>
      <c r="H714" s="1"/>
      <c r="I714" s="40"/>
      <c r="J714" s="8"/>
      <c r="K714" s="8"/>
      <c r="L714" s="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5"/>
      <c r="C715" s="1"/>
      <c r="D715" s="46"/>
      <c r="E715" s="1"/>
      <c r="F715" s="1"/>
      <c r="G715" s="5"/>
      <c r="H715" s="1"/>
      <c r="I715" s="40"/>
      <c r="J715" s="8"/>
      <c r="K715" s="8"/>
      <c r="L715" s="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5"/>
      <c r="C716" s="1"/>
      <c r="D716" s="46"/>
      <c r="E716" s="1"/>
      <c r="F716" s="1"/>
      <c r="G716" s="5"/>
      <c r="H716" s="1"/>
      <c r="I716" s="40"/>
      <c r="J716" s="8"/>
      <c r="K716" s="8"/>
      <c r="L716" s="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5"/>
      <c r="C717" s="1"/>
      <c r="D717" s="46"/>
      <c r="E717" s="1"/>
      <c r="F717" s="1"/>
      <c r="G717" s="5"/>
      <c r="H717" s="1"/>
      <c r="I717" s="40"/>
      <c r="J717" s="8"/>
      <c r="K717" s="8"/>
      <c r="L717" s="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5"/>
      <c r="C718" s="1"/>
      <c r="D718" s="46"/>
      <c r="E718" s="1"/>
      <c r="F718" s="1"/>
      <c r="G718" s="5"/>
      <c r="H718" s="1"/>
      <c r="I718" s="40"/>
      <c r="J718" s="8"/>
      <c r="K718" s="8"/>
      <c r="L718" s="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5"/>
      <c r="C719" s="1"/>
      <c r="D719" s="46"/>
      <c r="E719" s="1"/>
      <c r="F719" s="1"/>
      <c r="G719" s="5"/>
      <c r="H719" s="1"/>
      <c r="I719" s="40"/>
      <c r="J719" s="8"/>
      <c r="K719" s="8"/>
      <c r="L719" s="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5"/>
      <c r="C720" s="1"/>
      <c r="D720" s="46"/>
      <c r="E720" s="1"/>
      <c r="F720" s="1"/>
      <c r="G720" s="5"/>
      <c r="H720" s="1"/>
      <c r="I720" s="40"/>
      <c r="J720" s="8"/>
      <c r="K720" s="8"/>
      <c r="L720" s="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5"/>
      <c r="C721" s="1"/>
      <c r="D721" s="46"/>
      <c r="E721" s="1"/>
      <c r="F721" s="1"/>
      <c r="G721" s="5"/>
      <c r="H721" s="1"/>
      <c r="I721" s="40"/>
      <c r="J721" s="8"/>
      <c r="K721" s="8"/>
      <c r="L721" s="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5"/>
      <c r="C722" s="1"/>
      <c r="D722" s="46"/>
      <c r="E722" s="1"/>
      <c r="F722" s="1"/>
      <c r="G722" s="5"/>
      <c r="H722" s="1"/>
      <c r="I722" s="40"/>
      <c r="J722" s="8"/>
      <c r="K722" s="8"/>
      <c r="L722" s="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5"/>
      <c r="C723" s="1"/>
      <c r="D723" s="46"/>
      <c r="E723" s="1"/>
      <c r="F723" s="1"/>
      <c r="G723" s="5"/>
      <c r="H723" s="1"/>
      <c r="I723" s="40"/>
      <c r="J723" s="8"/>
      <c r="K723" s="8"/>
      <c r="L723" s="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5"/>
      <c r="C724" s="1"/>
      <c r="D724" s="46"/>
      <c r="E724" s="1"/>
      <c r="F724" s="1"/>
      <c r="G724" s="5"/>
      <c r="H724" s="1"/>
      <c r="I724" s="40"/>
      <c r="J724" s="8"/>
      <c r="K724" s="8"/>
      <c r="L724" s="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5"/>
      <c r="C725" s="1"/>
      <c r="D725" s="46"/>
      <c r="E725" s="1"/>
      <c r="F725" s="1"/>
      <c r="G725" s="5"/>
      <c r="H725" s="1"/>
      <c r="I725" s="40"/>
      <c r="J725" s="8"/>
      <c r="K725" s="8"/>
      <c r="L725" s="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5"/>
      <c r="C726" s="1"/>
      <c r="D726" s="46"/>
      <c r="E726" s="1"/>
      <c r="F726" s="1"/>
      <c r="G726" s="5"/>
      <c r="H726" s="1"/>
      <c r="I726" s="40"/>
      <c r="J726" s="8"/>
      <c r="K726" s="8"/>
      <c r="L726" s="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5"/>
      <c r="C727" s="1"/>
      <c r="D727" s="46"/>
      <c r="E727" s="1"/>
      <c r="F727" s="1"/>
      <c r="G727" s="5"/>
      <c r="H727" s="1"/>
      <c r="I727" s="40"/>
      <c r="J727" s="8"/>
      <c r="K727" s="8"/>
      <c r="L727" s="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5"/>
      <c r="C728" s="1"/>
      <c r="D728" s="46"/>
      <c r="E728" s="1"/>
      <c r="F728" s="1"/>
      <c r="G728" s="5"/>
      <c r="H728" s="1"/>
      <c r="I728" s="40"/>
      <c r="J728" s="8"/>
      <c r="K728" s="8"/>
      <c r="L728" s="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5"/>
      <c r="C729" s="1"/>
      <c r="D729" s="46"/>
      <c r="E729" s="1"/>
      <c r="F729" s="1"/>
      <c r="G729" s="5"/>
      <c r="H729" s="1"/>
      <c r="I729" s="40"/>
      <c r="J729" s="8"/>
      <c r="K729" s="8"/>
      <c r="L729" s="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5"/>
      <c r="C730" s="1"/>
      <c r="D730" s="46"/>
      <c r="E730" s="1"/>
      <c r="F730" s="1"/>
      <c r="G730" s="5"/>
      <c r="H730" s="1"/>
      <c r="I730" s="40"/>
      <c r="J730" s="8"/>
      <c r="K730" s="8"/>
      <c r="L730" s="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5"/>
      <c r="C731" s="1"/>
      <c r="D731" s="46"/>
      <c r="E731" s="1"/>
      <c r="F731" s="1"/>
      <c r="G731" s="5"/>
      <c r="H731" s="1"/>
      <c r="I731" s="40"/>
      <c r="J731" s="8"/>
      <c r="K731" s="8"/>
      <c r="L731" s="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5"/>
      <c r="C732" s="1"/>
      <c r="D732" s="46"/>
      <c r="E732" s="1"/>
      <c r="F732" s="1"/>
      <c r="G732" s="5"/>
      <c r="H732" s="1"/>
      <c r="I732" s="40"/>
      <c r="J732" s="8"/>
      <c r="K732" s="8"/>
      <c r="L732" s="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5"/>
      <c r="C733" s="1"/>
      <c r="D733" s="46"/>
      <c r="E733" s="1"/>
      <c r="F733" s="1"/>
      <c r="G733" s="5"/>
      <c r="H733" s="1"/>
      <c r="I733" s="40"/>
      <c r="J733" s="8"/>
      <c r="K733" s="8"/>
      <c r="L733" s="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5"/>
      <c r="C734" s="1"/>
      <c r="D734" s="46"/>
      <c r="E734" s="1"/>
      <c r="F734" s="1"/>
      <c r="G734" s="5"/>
      <c r="H734" s="1"/>
      <c r="I734" s="40"/>
      <c r="J734" s="8"/>
      <c r="K734" s="8"/>
      <c r="L734" s="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5"/>
      <c r="C735" s="1"/>
      <c r="D735" s="46"/>
      <c r="E735" s="1"/>
      <c r="F735" s="1"/>
      <c r="G735" s="5"/>
      <c r="H735" s="1"/>
      <c r="I735" s="40"/>
      <c r="J735" s="8"/>
      <c r="K735" s="8"/>
      <c r="L735" s="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5"/>
      <c r="C736" s="1"/>
      <c r="D736" s="46"/>
      <c r="E736" s="1"/>
      <c r="F736" s="1"/>
      <c r="G736" s="5"/>
      <c r="H736" s="1"/>
      <c r="I736" s="40"/>
      <c r="J736" s="8"/>
      <c r="K736" s="8"/>
      <c r="L736" s="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5"/>
      <c r="C737" s="1"/>
      <c r="D737" s="46"/>
      <c r="E737" s="1"/>
      <c r="F737" s="1"/>
      <c r="G737" s="5"/>
      <c r="H737" s="1"/>
      <c r="I737" s="40"/>
      <c r="J737" s="8"/>
      <c r="K737" s="8"/>
      <c r="L737" s="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5"/>
      <c r="C738" s="1"/>
      <c r="D738" s="46"/>
      <c r="E738" s="1"/>
      <c r="F738" s="1"/>
      <c r="G738" s="5"/>
      <c r="H738" s="1"/>
      <c r="I738" s="40"/>
      <c r="J738" s="8"/>
      <c r="K738" s="8"/>
      <c r="L738" s="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5"/>
      <c r="C739" s="1"/>
      <c r="D739" s="46"/>
      <c r="E739" s="1"/>
      <c r="F739" s="1"/>
      <c r="G739" s="5"/>
      <c r="H739" s="1"/>
      <c r="I739" s="40"/>
      <c r="J739" s="8"/>
      <c r="K739" s="8"/>
      <c r="L739" s="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5"/>
      <c r="C740" s="1"/>
      <c r="D740" s="46"/>
      <c r="E740" s="1"/>
      <c r="F740" s="1"/>
      <c r="G740" s="5"/>
      <c r="H740" s="1"/>
      <c r="I740" s="40"/>
      <c r="J740" s="8"/>
      <c r="K740" s="8"/>
      <c r="L740" s="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5"/>
      <c r="C741" s="1"/>
      <c r="D741" s="46"/>
      <c r="E741" s="1"/>
      <c r="F741" s="1"/>
      <c r="G741" s="5"/>
      <c r="H741" s="1"/>
      <c r="I741" s="40"/>
      <c r="J741" s="8"/>
      <c r="K741" s="8"/>
      <c r="L741" s="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5"/>
      <c r="C742" s="1"/>
      <c r="D742" s="46"/>
      <c r="E742" s="1"/>
      <c r="F742" s="1"/>
      <c r="G742" s="5"/>
      <c r="H742" s="1"/>
      <c r="I742" s="40"/>
      <c r="J742" s="8"/>
      <c r="K742" s="8"/>
      <c r="L742" s="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5"/>
      <c r="C743" s="1"/>
      <c r="D743" s="46"/>
      <c r="E743" s="1"/>
      <c r="F743" s="1"/>
      <c r="G743" s="5"/>
      <c r="H743" s="1"/>
      <c r="I743" s="40"/>
      <c r="J743" s="8"/>
      <c r="K743" s="8"/>
      <c r="L743" s="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5"/>
      <c r="C744" s="1"/>
      <c r="D744" s="46"/>
      <c r="E744" s="1"/>
      <c r="F744" s="1"/>
      <c r="G744" s="5"/>
      <c r="H744" s="1"/>
      <c r="I744" s="40"/>
      <c r="J744" s="8"/>
      <c r="K744" s="8"/>
      <c r="L744" s="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5"/>
      <c r="C745" s="1"/>
      <c r="D745" s="46"/>
      <c r="E745" s="1"/>
      <c r="F745" s="1"/>
      <c r="G745" s="5"/>
      <c r="H745" s="1"/>
      <c r="I745" s="40"/>
      <c r="J745" s="8"/>
      <c r="K745" s="8"/>
      <c r="L745" s="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5"/>
      <c r="C746" s="1"/>
      <c r="D746" s="46"/>
      <c r="E746" s="1"/>
      <c r="F746" s="1"/>
      <c r="G746" s="5"/>
      <c r="H746" s="1"/>
      <c r="I746" s="40"/>
      <c r="J746" s="8"/>
      <c r="K746" s="8"/>
      <c r="L746" s="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5"/>
      <c r="C747" s="1"/>
      <c r="D747" s="46"/>
      <c r="E747" s="1"/>
      <c r="F747" s="1"/>
      <c r="G747" s="5"/>
      <c r="H747" s="1"/>
      <c r="I747" s="40"/>
      <c r="J747" s="8"/>
      <c r="K747" s="8"/>
      <c r="L747" s="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5"/>
      <c r="C748" s="1"/>
      <c r="D748" s="46"/>
      <c r="E748" s="1"/>
      <c r="F748" s="1"/>
      <c r="G748" s="5"/>
      <c r="H748" s="1"/>
      <c r="I748" s="40"/>
      <c r="J748" s="8"/>
      <c r="K748" s="8"/>
      <c r="L748" s="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5"/>
      <c r="C749" s="1"/>
      <c r="D749" s="46"/>
      <c r="E749" s="1"/>
      <c r="F749" s="1"/>
      <c r="G749" s="5"/>
      <c r="H749" s="1"/>
      <c r="I749" s="40"/>
      <c r="J749" s="8"/>
      <c r="K749" s="8"/>
      <c r="L749" s="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5"/>
      <c r="C750" s="1"/>
      <c r="D750" s="46"/>
      <c r="E750" s="1"/>
      <c r="F750" s="1"/>
      <c r="G750" s="5"/>
      <c r="H750" s="1"/>
      <c r="I750" s="40"/>
      <c r="J750" s="8"/>
      <c r="K750" s="8"/>
      <c r="L750" s="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5"/>
      <c r="C751" s="1"/>
      <c r="D751" s="46"/>
      <c r="E751" s="1"/>
      <c r="F751" s="1"/>
      <c r="G751" s="5"/>
      <c r="H751" s="1"/>
      <c r="I751" s="40"/>
      <c r="J751" s="8"/>
      <c r="K751" s="8"/>
      <c r="L751" s="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5"/>
      <c r="C752" s="1"/>
      <c r="D752" s="46"/>
      <c r="E752" s="1"/>
      <c r="F752" s="1"/>
      <c r="G752" s="5"/>
      <c r="H752" s="1"/>
      <c r="I752" s="40"/>
      <c r="J752" s="8"/>
      <c r="K752" s="8"/>
      <c r="L752" s="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5"/>
      <c r="C753" s="1"/>
      <c r="D753" s="46"/>
      <c r="E753" s="1"/>
      <c r="F753" s="1"/>
      <c r="G753" s="5"/>
      <c r="H753" s="1"/>
      <c r="I753" s="40"/>
      <c r="J753" s="8"/>
      <c r="K753" s="8"/>
      <c r="L753" s="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5"/>
      <c r="C754" s="1"/>
      <c r="D754" s="46"/>
      <c r="E754" s="1"/>
      <c r="F754" s="1"/>
      <c r="G754" s="5"/>
      <c r="H754" s="1"/>
      <c r="I754" s="40"/>
      <c r="J754" s="8"/>
      <c r="K754" s="8"/>
      <c r="L754" s="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5"/>
      <c r="C755" s="1"/>
      <c r="D755" s="46"/>
      <c r="E755" s="1"/>
      <c r="F755" s="1"/>
      <c r="G755" s="5"/>
      <c r="H755" s="1"/>
      <c r="I755" s="40"/>
      <c r="J755" s="8"/>
      <c r="K755" s="8"/>
      <c r="L755" s="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5"/>
      <c r="C756" s="1"/>
      <c r="D756" s="46"/>
      <c r="E756" s="1"/>
      <c r="F756" s="1"/>
      <c r="G756" s="5"/>
      <c r="H756" s="1"/>
      <c r="I756" s="40"/>
      <c r="J756" s="8"/>
      <c r="K756" s="8"/>
      <c r="L756" s="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5"/>
      <c r="C757" s="1"/>
      <c r="D757" s="46"/>
      <c r="E757" s="1"/>
      <c r="F757" s="1"/>
      <c r="G757" s="5"/>
      <c r="H757" s="1"/>
      <c r="I757" s="40"/>
      <c r="J757" s="8"/>
      <c r="K757" s="8"/>
      <c r="L757" s="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5"/>
      <c r="C758" s="1"/>
      <c r="D758" s="46"/>
      <c r="E758" s="1"/>
      <c r="F758" s="1"/>
      <c r="G758" s="5"/>
      <c r="H758" s="1"/>
      <c r="I758" s="40"/>
      <c r="J758" s="8"/>
      <c r="K758" s="8"/>
      <c r="L758" s="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5"/>
      <c r="C759" s="1"/>
      <c r="D759" s="46"/>
      <c r="E759" s="1"/>
      <c r="F759" s="1"/>
      <c r="G759" s="5"/>
      <c r="H759" s="1"/>
      <c r="I759" s="40"/>
      <c r="J759" s="8"/>
      <c r="K759" s="8"/>
      <c r="L759" s="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5"/>
      <c r="C760" s="1"/>
      <c r="D760" s="46"/>
      <c r="E760" s="1"/>
      <c r="F760" s="1"/>
      <c r="G760" s="5"/>
      <c r="H760" s="1"/>
      <c r="I760" s="40"/>
      <c r="J760" s="8"/>
      <c r="K760" s="8"/>
      <c r="L760" s="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5"/>
      <c r="C761" s="1"/>
      <c r="D761" s="46"/>
      <c r="E761" s="1"/>
      <c r="F761" s="1"/>
      <c r="G761" s="5"/>
      <c r="H761" s="1"/>
      <c r="I761" s="40"/>
      <c r="J761" s="8"/>
      <c r="K761" s="8"/>
      <c r="L761" s="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5"/>
      <c r="C762" s="1"/>
      <c r="D762" s="46"/>
      <c r="E762" s="1"/>
      <c r="F762" s="1"/>
      <c r="G762" s="5"/>
      <c r="H762" s="1"/>
      <c r="I762" s="40"/>
      <c r="J762" s="8"/>
      <c r="K762" s="8"/>
      <c r="L762" s="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5"/>
      <c r="C763" s="1"/>
      <c r="D763" s="46"/>
      <c r="E763" s="1"/>
      <c r="F763" s="1"/>
      <c r="G763" s="5"/>
      <c r="H763" s="1"/>
      <c r="I763" s="40"/>
      <c r="J763" s="8"/>
      <c r="K763" s="8"/>
      <c r="L763" s="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5"/>
      <c r="C764" s="1"/>
      <c r="D764" s="46"/>
      <c r="E764" s="1"/>
      <c r="F764" s="1"/>
      <c r="G764" s="5"/>
      <c r="H764" s="1"/>
      <c r="I764" s="40"/>
      <c r="J764" s="8"/>
      <c r="K764" s="8"/>
      <c r="L764" s="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5"/>
      <c r="C765" s="1"/>
      <c r="D765" s="46"/>
      <c r="E765" s="1"/>
      <c r="F765" s="1"/>
      <c r="G765" s="5"/>
      <c r="H765" s="1"/>
      <c r="I765" s="40"/>
      <c r="J765" s="8"/>
      <c r="K765" s="8"/>
      <c r="L765" s="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5"/>
      <c r="C766" s="1"/>
      <c r="D766" s="46"/>
      <c r="E766" s="1"/>
      <c r="F766" s="1"/>
      <c r="G766" s="5"/>
      <c r="H766" s="1"/>
      <c r="I766" s="40"/>
      <c r="J766" s="8"/>
      <c r="K766" s="8"/>
      <c r="L766" s="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5"/>
      <c r="C767" s="1"/>
      <c r="D767" s="46"/>
      <c r="E767" s="1"/>
      <c r="F767" s="1"/>
      <c r="G767" s="5"/>
      <c r="H767" s="1"/>
      <c r="I767" s="40"/>
      <c r="J767" s="8"/>
      <c r="K767" s="8"/>
      <c r="L767" s="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5"/>
      <c r="C768" s="1"/>
      <c r="D768" s="46"/>
      <c r="E768" s="1"/>
      <c r="F768" s="1"/>
      <c r="G768" s="5"/>
      <c r="H768" s="1"/>
      <c r="I768" s="40"/>
      <c r="J768" s="8"/>
      <c r="K768" s="8"/>
      <c r="L768" s="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5"/>
      <c r="C769" s="1"/>
      <c r="D769" s="46"/>
      <c r="E769" s="1"/>
      <c r="F769" s="1"/>
      <c r="G769" s="5"/>
      <c r="H769" s="1"/>
      <c r="I769" s="40"/>
      <c r="J769" s="8"/>
      <c r="K769" s="8"/>
      <c r="L769" s="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5"/>
      <c r="C770" s="1"/>
      <c r="D770" s="46"/>
      <c r="E770" s="1"/>
      <c r="F770" s="1"/>
      <c r="G770" s="5"/>
      <c r="H770" s="1"/>
      <c r="I770" s="40"/>
      <c r="J770" s="8"/>
      <c r="K770" s="8"/>
      <c r="L770" s="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5"/>
      <c r="C771" s="1"/>
      <c r="D771" s="46"/>
      <c r="E771" s="1"/>
      <c r="F771" s="1"/>
      <c r="G771" s="5"/>
      <c r="H771" s="1"/>
      <c r="I771" s="40"/>
      <c r="J771" s="8"/>
      <c r="K771" s="8"/>
      <c r="L771" s="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5"/>
      <c r="C772" s="1"/>
      <c r="D772" s="46"/>
      <c r="E772" s="1"/>
      <c r="F772" s="1"/>
      <c r="G772" s="5"/>
      <c r="H772" s="1"/>
      <c r="I772" s="40"/>
      <c r="J772" s="8"/>
      <c r="K772" s="8"/>
      <c r="L772" s="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5"/>
      <c r="C773" s="1"/>
      <c r="D773" s="46"/>
      <c r="E773" s="1"/>
      <c r="F773" s="1"/>
      <c r="G773" s="5"/>
      <c r="H773" s="1"/>
      <c r="I773" s="40"/>
      <c r="J773" s="8"/>
      <c r="K773" s="8"/>
      <c r="L773" s="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5"/>
      <c r="C774" s="1"/>
      <c r="D774" s="46"/>
      <c r="E774" s="1"/>
      <c r="F774" s="1"/>
      <c r="G774" s="5"/>
      <c r="H774" s="1"/>
      <c r="I774" s="40"/>
      <c r="J774" s="8"/>
      <c r="K774" s="8"/>
      <c r="L774" s="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5"/>
      <c r="C775" s="1"/>
      <c r="D775" s="46"/>
      <c r="E775" s="1"/>
      <c r="F775" s="1"/>
      <c r="G775" s="5"/>
      <c r="H775" s="1"/>
      <c r="I775" s="40"/>
      <c r="J775" s="8"/>
      <c r="K775" s="8"/>
      <c r="L775" s="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5"/>
      <c r="C776" s="1"/>
      <c r="D776" s="46"/>
      <c r="E776" s="1"/>
      <c r="F776" s="1"/>
      <c r="G776" s="5"/>
      <c r="H776" s="1"/>
      <c r="I776" s="40"/>
      <c r="J776" s="8"/>
      <c r="K776" s="8"/>
      <c r="L776" s="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5"/>
      <c r="C777" s="1"/>
      <c r="D777" s="46"/>
      <c r="E777" s="1"/>
      <c r="F777" s="1"/>
      <c r="G777" s="5"/>
      <c r="H777" s="1"/>
      <c r="I777" s="40"/>
      <c r="J777" s="8"/>
      <c r="K777" s="8"/>
      <c r="L777" s="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5"/>
      <c r="C778" s="1"/>
      <c r="D778" s="46"/>
      <c r="E778" s="1"/>
      <c r="F778" s="1"/>
      <c r="G778" s="5"/>
      <c r="H778" s="1"/>
      <c r="I778" s="40"/>
      <c r="J778" s="8"/>
      <c r="K778" s="8"/>
      <c r="L778" s="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5"/>
      <c r="C779" s="1"/>
      <c r="D779" s="46"/>
      <c r="E779" s="1"/>
      <c r="F779" s="1"/>
      <c r="G779" s="5"/>
      <c r="H779" s="1"/>
      <c r="I779" s="40"/>
      <c r="J779" s="8"/>
      <c r="K779" s="8"/>
      <c r="L779" s="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5"/>
      <c r="C780" s="1"/>
      <c r="D780" s="46"/>
      <c r="E780" s="1"/>
      <c r="F780" s="1"/>
      <c r="G780" s="5"/>
      <c r="H780" s="1"/>
      <c r="I780" s="40"/>
      <c r="J780" s="8"/>
      <c r="K780" s="8"/>
      <c r="L780" s="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5"/>
      <c r="C781" s="1"/>
      <c r="D781" s="46"/>
      <c r="E781" s="1"/>
      <c r="F781" s="1"/>
      <c r="G781" s="5"/>
      <c r="H781" s="1"/>
      <c r="I781" s="40"/>
      <c r="J781" s="8"/>
      <c r="K781" s="8"/>
      <c r="L781" s="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5"/>
      <c r="C782" s="1"/>
      <c r="D782" s="46"/>
      <c r="E782" s="1"/>
      <c r="F782" s="1"/>
      <c r="G782" s="5"/>
      <c r="H782" s="1"/>
      <c r="I782" s="40"/>
      <c r="J782" s="8"/>
      <c r="K782" s="8"/>
      <c r="L782" s="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5"/>
      <c r="C783" s="1"/>
      <c r="D783" s="46"/>
      <c r="E783" s="1"/>
      <c r="F783" s="1"/>
      <c r="G783" s="5"/>
      <c r="H783" s="1"/>
      <c r="I783" s="40"/>
      <c r="J783" s="8"/>
      <c r="K783" s="8"/>
      <c r="L783" s="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5"/>
      <c r="C784" s="1"/>
      <c r="D784" s="46"/>
      <c r="E784" s="1"/>
      <c r="F784" s="1"/>
      <c r="G784" s="5"/>
      <c r="H784" s="1"/>
      <c r="I784" s="40"/>
      <c r="J784" s="8"/>
      <c r="K784" s="8"/>
      <c r="L784" s="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5"/>
      <c r="C785" s="1"/>
      <c r="D785" s="46"/>
      <c r="E785" s="1"/>
      <c r="F785" s="1"/>
      <c r="G785" s="5"/>
      <c r="H785" s="1"/>
      <c r="I785" s="40"/>
      <c r="J785" s="8"/>
      <c r="K785" s="8"/>
      <c r="L785" s="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5"/>
      <c r="C786" s="1"/>
      <c r="D786" s="46"/>
      <c r="E786" s="1"/>
      <c r="F786" s="1"/>
      <c r="G786" s="5"/>
      <c r="H786" s="1"/>
      <c r="I786" s="40"/>
      <c r="J786" s="8"/>
      <c r="K786" s="8"/>
      <c r="L786" s="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5"/>
      <c r="C787" s="1"/>
      <c r="D787" s="46"/>
      <c r="E787" s="1"/>
      <c r="F787" s="1"/>
      <c r="G787" s="5"/>
      <c r="H787" s="1"/>
      <c r="I787" s="40"/>
      <c r="J787" s="8"/>
      <c r="K787" s="8"/>
      <c r="L787" s="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5"/>
      <c r="C788" s="1"/>
      <c r="D788" s="46"/>
      <c r="E788" s="1"/>
      <c r="F788" s="1"/>
      <c r="G788" s="5"/>
      <c r="H788" s="1"/>
      <c r="I788" s="40"/>
      <c r="J788" s="8"/>
      <c r="K788" s="8"/>
      <c r="L788" s="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5"/>
      <c r="C789" s="1"/>
      <c r="D789" s="46"/>
      <c r="E789" s="1"/>
      <c r="F789" s="1"/>
      <c r="G789" s="5"/>
      <c r="H789" s="1"/>
      <c r="I789" s="40"/>
      <c r="J789" s="8"/>
      <c r="K789" s="8"/>
      <c r="L789" s="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5"/>
      <c r="C790" s="1"/>
      <c r="D790" s="46"/>
      <c r="E790" s="1"/>
      <c r="F790" s="1"/>
      <c r="G790" s="5"/>
      <c r="H790" s="1"/>
      <c r="I790" s="40"/>
      <c r="J790" s="8"/>
      <c r="K790" s="8"/>
      <c r="L790" s="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5"/>
      <c r="C791" s="1"/>
      <c r="D791" s="46"/>
      <c r="E791" s="1"/>
      <c r="F791" s="1"/>
      <c r="G791" s="5"/>
      <c r="H791" s="1"/>
      <c r="I791" s="40"/>
      <c r="J791" s="8"/>
      <c r="K791" s="8"/>
      <c r="L791" s="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5"/>
      <c r="C792" s="1"/>
      <c r="D792" s="46"/>
      <c r="E792" s="1"/>
      <c r="F792" s="1"/>
      <c r="G792" s="5"/>
      <c r="H792" s="1"/>
      <c r="I792" s="40"/>
      <c r="J792" s="8"/>
      <c r="K792" s="8"/>
      <c r="L792" s="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5"/>
      <c r="C793" s="1"/>
      <c r="D793" s="46"/>
      <c r="E793" s="1"/>
      <c r="F793" s="1"/>
      <c r="G793" s="5"/>
      <c r="H793" s="1"/>
      <c r="I793" s="40"/>
      <c r="J793" s="8"/>
      <c r="K793" s="8"/>
      <c r="L793" s="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5"/>
      <c r="C794" s="1"/>
      <c r="D794" s="46"/>
      <c r="E794" s="1"/>
      <c r="F794" s="1"/>
      <c r="G794" s="5"/>
      <c r="H794" s="1"/>
      <c r="I794" s="40"/>
      <c r="J794" s="8"/>
      <c r="K794" s="8"/>
      <c r="L794" s="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5"/>
      <c r="C795" s="1"/>
      <c r="D795" s="46"/>
      <c r="E795" s="1"/>
      <c r="F795" s="1"/>
      <c r="G795" s="5"/>
      <c r="H795" s="1"/>
      <c r="I795" s="40"/>
      <c r="J795" s="8"/>
      <c r="K795" s="8"/>
      <c r="L795" s="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5"/>
      <c r="C796" s="1"/>
      <c r="D796" s="46"/>
      <c r="E796" s="1"/>
      <c r="F796" s="1"/>
      <c r="G796" s="5"/>
      <c r="H796" s="1"/>
      <c r="I796" s="40"/>
      <c r="J796" s="8"/>
      <c r="K796" s="8"/>
      <c r="L796" s="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5"/>
      <c r="C797" s="1"/>
      <c r="D797" s="46"/>
      <c r="E797" s="1"/>
      <c r="F797" s="1"/>
      <c r="G797" s="5"/>
      <c r="H797" s="1"/>
      <c r="I797" s="40"/>
      <c r="J797" s="8"/>
      <c r="K797" s="8"/>
      <c r="L797" s="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5"/>
      <c r="C798" s="1"/>
      <c r="D798" s="46"/>
      <c r="E798" s="1"/>
      <c r="F798" s="1"/>
      <c r="G798" s="5"/>
      <c r="H798" s="1"/>
      <c r="I798" s="40"/>
      <c r="J798" s="8"/>
      <c r="K798" s="8"/>
      <c r="L798" s="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5"/>
      <c r="C799" s="1"/>
      <c r="D799" s="46"/>
      <c r="E799" s="1"/>
      <c r="F799" s="1"/>
      <c r="G799" s="5"/>
      <c r="H799" s="1"/>
      <c r="I799" s="40"/>
      <c r="J799" s="8"/>
      <c r="K799" s="8"/>
      <c r="L799" s="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5"/>
      <c r="C800" s="1"/>
      <c r="D800" s="46"/>
      <c r="E800" s="1"/>
      <c r="F800" s="1"/>
      <c r="G800" s="5"/>
      <c r="H800" s="1"/>
      <c r="I800" s="40"/>
      <c r="J800" s="8"/>
      <c r="K800" s="8"/>
      <c r="L800" s="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5"/>
      <c r="C801" s="1"/>
      <c r="D801" s="46"/>
      <c r="E801" s="1"/>
      <c r="F801" s="1"/>
      <c r="G801" s="5"/>
      <c r="H801" s="1"/>
      <c r="I801" s="40"/>
      <c r="J801" s="8"/>
      <c r="K801" s="8"/>
      <c r="L801" s="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5"/>
      <c r="C802" s="1"/>
      <c r="D802" s="46"/>
      <c r="E802" s="1"/>
      <c r="F802" s="1"/>
      <c r="G802" s="5"/>
      <c r="H802" s="1"/>
      <c r="I802" s="40"/>
      <c r="J802" s="8"/>
      <c r="K802" s="8"/>
      <c r="L802" s="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5"/>
      <c r="C803" s="1"/>
      <c r="D803" s="46"/>
      <c r="E803" s="1"/>
      <c r="F803" s="1"/>
      <c r="G803" s="5"/>
      <c r="H803" s="1"/>
      <c r="I803" s="40"/>
      <c r="J803" s="8"/>
      <c r="K803" s="8"/>
      <c r="L803" s="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5"/>
      <c r="C804" s="1"/>
      <c r="D804" s="46"/>
      <c r="E804" s="1"/>
      <c r="F804" s="1"/>
      <c r="G804" s="5"/>
      <c r="H804" s="1"/>
      <c r="I804" s="40"/>
      <c r="J804" s="8"/>
      <c r="K804" s="8"/>
      <c r="L804" s="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5"/>
      <c r="C805" s="1"/>
      <c r="D805" s="46"/>
      <c r="E805" s="1"/>
      <c r="F805" s="1"/>
      <c r="G805" s="5"/>
      <c r="H805" s="1"/>
      <c r="I805" s="40"/>
      <c r="J805" s="8"/>
      <c r="K805" s="8"/>
      <c r="L805" s="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5"/>
      <c r="C806" s="1"/>
      <c r="D806" s="46"/>
      <c r="E806" s="1"/>
      <c r="F806" s="1"/>
      <c r="G806" s="5"/>
      <c r="H806" s="1"/>
      <c r="I806" s="40"/>
      <c r="J806" s="8"/>
      <c r="K806" s="8"/>
      <c r="L806" s="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5"/>
      <c r="C807" s="1"/>
      <c r="D807" s="46"/>
      <c r="E807" s="1"/>
      <c r="F807" s="1"/>
      <c r="G807" s="5"/>
      <c r="H807" s="1"/>
      <c r="I807" s="40"/>
      <c r="J807" s="8"/>
      <c r="K807" s="8"/>
      <c r="L807" s="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5"/>
      <c r="C808" s="1"/>
      <c r="D808" s="46"/>
      <c r="E808" s="1"/>
      <c r="F808" s="1"/>
      <c r="G808" s="5"/>
      <c r="H808" s="1"/>
      <c r="I808" s="40"/>
      <c r="J808" s="8"/>
      <c r="K808" s="8"/>
      <c r="L808" s="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5"/>
      <c r="C809" s="1"/>
      <c r="D809" s="46"/>
      <c r="E809" s="1"/>
      <c r="F809" s="1"/>
      <c r="G809" s="5"/>
      <c r="H809" s="1"/>
      <c r="I809" s="40"/>
      <c r="J809" s="8"/>
      <c r="K809" s="8"/>
      <c r="L809" s="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5"/>
      <c r="C810" s="1"/>
      <c r="D810" s="46"/>
      <c r="E810" s="1"/>
      <c r="F810" s="1"/>
      <c r="G810" s="5"/>
      <c r="H810" s="1"/>
      <c r="I810" s="40"/>
      <c r="J810" s="8"/>
      <c r="K810" s="8"/>
      <c r="L810" s="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5"/>
      <c r="C811" s="1"/>
      <c r="D811" s="46"/>
      <c r="E811" s="1"/>
      <c r="F811" s="1"/>
      <c r="G811" s="5"/>
      <c r="H811" s="1"/>
      <c r="I811" s="40"/>
      <c r="J811" s="8"/>
      <c r="K811" s="8"/>
      <c r="L811" s="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5"/>
      <c r="C812" s="1"/>
      <c r="D812" s="46"/>
      <c r="E812" s="1"/>
      <c r="F812" s="1"/>
      <c r="G812" s="5"/>
      <c r="H812" s="1"/>
      <c r="I812" s="40"/>
      <c r="J812" s="8"/>
      <c r="K812" s="8"/>
      <c r="L812" s="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5"/>
      <c r="C813" s="1"/>
      <c r="D813" s="46"/>
      <c r="E813" s="1"/>
      <c r="F813" s="1"/>
      <c r="G813" s="5"/>
      <c r="H813" s="1"/>
      <c r="I813" s="40"/>
      <c r="J813" s="8"/>
      <c r="K813" s="8"/>
      <c r="L813" s="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5"/>
      <c r="C814" s="1"/>
      <c r="D814" s="46"/>
      <c r="E814" s="1"/>
      <c r="F814" s="1"/>
      <c r="G814" s="5"/>
      <c r="H814" s="1"/>
      <c r="I814" s="40"/>
      <c r="J814" s="8"/>
      <c r="K814" s="8"/>
      <c r="L814" s="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5"/>
      <c r="C815" s="1"/>
      <c r="D815" s="46"/>
      <c r="E815" s="1"/>
      <c r="F815" s="1"/>
      <c r="G815" s="5"/>
      <c r="H815" s="1"/>
      <c r="I815" s="40"/>
      <c r="J815" s="8"/>
      <c r="K815" s="8"/>
      <c r="L815" s="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5"/>
      <c r="C816" s="1"/>
      <c r="D816" s="46"/>
      <c r="E816" s="1"/>
      <c r="F816" s="1"/>
      <c r="G816" s="5"/>
      <c r="H816" s="1"/>
      <c r="I816" s="40"/>
      <c r="J816" s="8"/>
      <c r="K816" s="8"/>
      <c r="L816" s="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5"/>
      <c r="C817" s="1"/>
      <c r="D817" s="46"/>
      <c r="E817" s="1"/>
      <c r="F817" s="1"/>
      <c r="G817" s="5"/>
      <c r="H817" s="1"/>
      <c r="I817" s="40"/>
      <c r="J817" s="8"/>
      <c r="K817" s="8"/>
      <c r="L817" s="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5"/>
      <c r="C818" s="1"/>
      <c r="D818" s="46"/>
      <c r="E818" s="1"/>
      <c r="F818" s="1"/>
      <c r="G818" s="5"/>
      <c r="H818" s="1"/>
      <c r="I818" s="40"/>
      <c r="J818" s="8"/>
      <c r="K818" s="8"/>
      <c r="L818" s="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5"/>
      <c r="C819" s="1"/>
      <c r="D819" s="46"/>
      <c r="E819" s="1"/>
      <c r="F819" s="1"/>
      <c r="G819" s="5"/>
      <c r="H819" s="1"/>
      <c r="I819" s="40"/>
      <c r="J819" s="8"/>
      <c r="K819" s="8"/>
      <c r="L819" s="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5"/>
      <c r="C820" s="1"/>
      <c r="D820" s="46"/>
      <c r="E820" s="1"/>
      <c r="F820" s="1"/>
      <c r="G820" s="5"/>
      <c r="H820" s="1"/>
      <c r="I820" s="40"/>
      <c r="J820" s="8"/>
      <c r="K820" s="8"/>
      <c r="L820" s="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5"/>
      <c r="C821" s="1"/>
      <c r="D821" s="46"/>
      <c r="E821" s="1"/>
      <c r="F821" s="1"/>
      <c r="G821" s="5"/>
      <c r="H821" s="1"/>
      <c r="I821" s="40"/>
      <c r="J821" s="8"/>
      <c r="K821" s="8"/>
      <c r="L821" s="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5"/>
      <c r="C822" s="1"/>
      <c r="D822" s="46"/>
      <c r="E822" s="1"/>
      <c r="F822" s="1"/>
      <c r="G822" s="5"/>
      <c r="H822" s="1"/>
      <c r="I822" s="40"/>
      <c r="J822" s="8"/>
      <c r="K822" s="8"/>
      <c r="L822" s="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5"/>
      <c r="C823" s="1"/>
      <c r="D823" s="46"/>
      <c r="E823" s="1"/>
      <c r="F823" s="1"/>
      <c r="G823" s="5"/>
      <c r="H823" s="1"/>
      <c r="I823" s="40"/>
      <c r="J823" s="8"/>
      <c r="K823" s="8"/>
      <c r="L823" s="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5"/>
      <c r="C824" s="1"/>
      <c r="D824" s="46"/>
      <c r="E824" s="1"/>
      <c r="F824" s="1"/>
      <c r="G824" s="5"/>
      <c r="H824" s="1"/>
      <c r="I824" s="40"/>
      <c r="J824" s="8"/>
      <c r="K824" s="8"/>
      <c r="L824" s="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5"/>
      <c r="C825" s="1"/>
      <c r="D825" s="46"/>
      <c r="E825" s="1"/>
      <c r="F825" s="1"/>
      <c r="G825" s="5"/>
      <c r="H825" s="1"/>
      <c r="I825" s="40"/>
      <c r="J825" s="8"/>
      <c r="K825" s="8"/>
      <c r="L825" s="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5"/>
      <c r="C826" s="1"/>
      <c r="D826" s="46"/>
      <c r="E826" s="1"/>
      <c r="F826" s="1"/>
      <c r="G826" s="5"/>
      <c r="H826" s="1"/>
      <c r="I826" s="40"/>
      <c r="J826" s="8"/>
      <c r="K826" s="8"/>
      <c r="L826" s="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5"/>
      <c r="C827" s="1"/>
      <c r="D827" s="46"/>
      <c r="E827" s="1"/>
      <c r="F827" s="1"/>
      <c r="G827" s="5"/>
      <c r="H827" s="1"/>
      <c r="I827" s="40"/>
      <c r="J827" s="8"/>
      <c r="K827" s="8"/>
      <c r="L827" s="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5"/>
      <c r="C828" s="1"/>
      <c r="D828" s="46"/>
      <c r="E828" s="1"/>
      <c r="F828" s="1"/>
      <c r="G828" s="5"/>
      <c r="H828" s="1"/>
      <c r="I828" s="40"/>
      <c r="J828" s="8"/>
      <c r="K828" s="8"/>
      <c r="L828" s="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5"/>
      <c r="C829" s="1"/>
      <c r="D829" s="46"/>
      <c r="E829" s="1"/>
      <c r="F829" s="1"/>
      <c r="G829" s="5"/>
      <c r="H829" s="1"/>
      <c r="I829" s="40"/>
      <c r="J829" s="8"/>
      <c r="K829" s="8"/>
      <c r="L829" s="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5"/>
      <c r="C830" s="1"/>
      <c r="D830" s="46"/>
      <c r="E830" s="1"/>
      <c r="F830" s="1"/>
      <c r="G830" s="5"/>
      <c r="H830" s="1"/>
      <c r="I830" s="40"/>
      <c r="J830" s="8"/>
      <c r="K830" s="8"/>
      <c r="L830" s="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5"/>
      <c r="C831" s="1"/>
      <c r="D831" s="46"/>
      <c r="E831" s="1"/>
      <c r="F831" s="1"/>
      <c r="G831" s="5"/>
      <c r="H831" s="1"/>
      <c r="I831" s="40"/>
      <c r="J831" s="8"/>
      <c r="K831" s="8"/>
      <c r="L831" s="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5"/>
      <c r="C832" s="1"/>
      <c r="D832" s="46"/>
      <c r="E832" s="1"/>
      <c r="F832" s="1"/>
      <c r="G832" s="5"/>
      <c r="H832" s="1"/>
      <c r="I832" s="40"/>
      <c r="J832" s="8"/>
      <c r="K832" s="8"/>
      <c r="L832" s="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5"/>
      <c r="C833" s="1"/>
      <c r="D833" s="46"/>
      <c r="E833" s="1"/>
      <c r="F833" s="1"/>
      <c r="G833" s="5"/>
      <c r="H833" s="1"/>
      <c r="I833" s="40"/>
      <c r="J833" s="8"/>
      <c r="K833" s="8"/>
      <c r="L833" s="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5"/>
      <c r="C834" s="1"/>
      <c r="D834" s="46"/>
      <c r="E834" s="1"/>
      <c r="F834" s="1"/>
      <c r="G834" s="5"/>
      <c r="H834" s="1"/>
      <c r="I834" s="40"/>
      <c r="J834" s="8"/>
      <c r="K834" s="8"/>
      <c r="L834" s="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5"/>
      <c r="C835" s="1"/>
      <c r="D835" s="46"/>
      <c r="E835" s="1"/>
      <c r="F835" s="1"/>
      <c r="G835" s="5"/>
      <c r="H835" s="1"/>
      <c r="I835" s="40"/>
      <c r="J835" s="8"/>
      <c r="K835" s="8"/>
      <c r="L835" s="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5"/>
      <c r="C836" s="1"/>
      <c r="D836" s="46"/>
      <c r="E836" s="1"/>
      <c r="F836" s="1"/>
      <c r="G836" s="5"/>
      <c r="H836" s="1"/>
      <c r="I836" s="40"/>
      <c r="J836" s="8"/>
      <c r="K836" s="8"/>
      <c r="L836" s="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5"/>
      <c r="C837" s="1"/>
      <c r="D837" s="46"/>
      <c r="E837" s="1"/>
      <c r="F837" s="1"/>
      <c r="G837" s="5"/>
      <c r="H837" s="1"/>
      <c r="I837" s="40"/>
      <c r="J837" s="8"/>
      <c r="K837" s="8"/>
      <c r="L837" s="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5"/>
      <c r="C838" s="1"/>
      <c r="D838" s="46"/>
      <c r="E838" s="1"/>
      <c r="F838" s="1"/>
      <c r="G838" s="5"/>
      <c r="H838" s="1"/>
      <c r="I838" s="40"/>
      <c r="J838" s="8"/>
      <c r="K838" s="8"/>
      <c r="L838" s="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5"/>
      <c r="C839" s="1"/>
      <c r="D839" s="46"/>
      <c r="E839" s="1"/>
      <c r="F839" s="1"/>
      <c r="G839" s="5"/>
      <c r="H839" s="1"/>
      <c r="I839" s="40"/>
      <c r="J839" s="8"/>
      <c r="K839" s="8"/>
      <c r="L839" s="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5"/>
      <c r="C840" s="1"/>
      <c r="D840" s="46"/>
      <c r="E840" s="1"/>
      <c r="F840" s="1"/>
      <c r="G840" s="5"/>
      <c r="H840" s="1"/>
      <c r="I840" s="40"/>
      <c r="J840" s="8"/>
      <c r="K840" s="8"/>
      <c r="L840" s="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5"/>
      <c r="C841" s="1"/>
      <c r="D841" s="46"/>
      <c r="E841" s="1"/>
      <c r="F841" s="1"/>
      <c r="G841" s="5"/>
      <c r="H841" s="1"/>
      <c r="I841" s="40"/>
      <c r="J841" s="8"/>
      <c r="K841" s="8"/>
      <c r="L841" s="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5"/>
      <c r="C842" s="1"/>
      <c r="D842" s="46"/>
      <c r="E842" s="1"/>
      <c r="F842" s="1"/>
      <c r="G842" s="5"/>
      <c r="H842" s="1"/>
      <c r="I842" s="40"/>
      <c r="J842" s="8"/>
      <c r="K842" s="8"/>
      <c r="L842" s="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5"/>
      <c r="C843" s="1"/>
      <c r="D843" s="46"/>
      <c r="E843" s="1"/>
      <c r="F843" s="1"/>
      <c r="G843" s="5"/>
      <c r="H843" s="1"/>
      <c r="I843" s="40"/>
      <c r="J843" s="8"/>
      <c r="K843" s="8"/>
      <c r="L843" s="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5"/>
      <c r="C844" s="1"/>
      <c r="D844" s="46"/>
      <c r="E844" s="1"/>
      <c r="F844" s="1"/>
      <c r="G844" s="5"/>
      <c r="H844" s="1"/>
      <c r="I844" s="40"/>
      <c r="J844" s="8"/>
      <c r="K844" s="8"/>
      <c r="L844" s="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5"/>
      <c r="C845" s="1"/>
      <c r="D845" s="46"/>
      <c r="E845" s="1"/>
      <c r="F845" s="1"/>
      <c r="G845" s="5"/>
      <c r="H845" s="1"/>
      <c r="I845" s="40"/>
      <c r="J845" s="8"/>
      <c r="K845" s="8"/>
      <c r="L845" s="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5"/>
      <c r="C846" s="1"/>
      <c r="D846" s="46"/>
      <c r="E846" s="1"/>
      <c r="F846" s="1"/>
      <c r="G846" s="5"/>
      <c r="H846" s="1"/>
      <c r="I846" s="40"/>
      <c r="J846" s="8"/>
      <c r="K846" s="8"/>
      <c r="L846" s="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5"/>
      <c r="C847" s="1"/>
      <c r="D847" s="46"/>
      <c r="E847" s="1"/>
      <c r="F847" s="1"/>
      <c r="G847" s="5"/>
      <c r="H847" s="1"/>
      <c r="I847" s="40"/>
      <c r="J847" s="8"/>
      <c r="K847" s="8"/>
      <c r="L847" s="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5"/>
      <c r="C848" s="1"/>
      <c r="D848" s="46"/>
      <c r="E848" s="1"/>
      <c r="F848" s="1"/>
      <c r="G848" s="5"/>
      <c r="H848" s="1"/>
      <c r="I848" s="40"/>
      <c r="J848" s="8"/>
      <c r="K848" s="8"/>
      <c r="L848" s="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5"/>
      <c r="C849" s="1"/>
      <c r="D849" s="46"/>
      <c r="E849" s="1"/>
      <c r="F849" s="1"/>
      <c r="G849" s="5"/>
      <c r="H849" s="1"/>
      <c r="I849" s="40"/>
      <c r="J849" s="8"/>
      <c r="K849" s="8"/>
      <c r="L849" s="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5"/>
      <c r="C850" s="1"/>
      <c r="D850" s="46"/>
      <c r="E850" s="1"/>
      <c r="F850" s="1"/>
      <c r="G850" s="5"/>
      <c r="H850" s="1"/>
      <c r="I850" s="40"/>
      <c r="J850" s="8"/>
      <c r="K850" s="8"/>
      <c r="L850" s="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5"/>
      <c r="C851" s="1"/>
      <c r="D851" s="46"/>
      <c r="E851" s="1"/>
      <c r="F851" s="1"/>
      <c r="G851" s="5"/>
      <c r="H851" s="1"/>
      <c r="I851" s="40"/>
      <c r="J851" s="8"/>
      <c r="K851" s="8"/>
      <c r="L851" s="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5"/>
      <c r="C852" s="1"/>
      <c r="D852" s="46"/>
      <c r="E852" s="1"/>
      <c r="F852" s="1"/>
      <c r="G852" s="5"/>
      <c r="H852" s="1"/>
      <c r="I852" s="40"/>
      <c r="J852" s="8"/>
      <c r="K852" s="8"/>
      <c r="L852" s="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5"/>
      <c r="C853" s="1"/>
      <c r="D853" s="46"/>
      <c r="E853" s="1"/>
      <c r="F853" s="1"/>
      <c r="G853" s="5"/>
      <c r="H853" s="1"/>
      <c r="I853" s="40"/>
      <c r="J853" s="8"/>
      <c r="K853" s="8"/>
      <c r="L853" s="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5"/>
      <c r="C854" s="1"/>
      <c r="D854" s="46"/>
      <c r="E854" s="1"/>
      <c r="F854" s="1"/>
      <c r="G854" s="5"/>
      <c r="H854" s="1"/>
      <c r="I854" s="40"/>
      <c r="J854" s="8"/>
      <c r="K854" s="8"/>
      <c r="L854" s="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5"/>
      <c r="C855" s="1"/>
      <c r="D855" s="46"/>
      <c r="E855" s="1"/>
      <c r="F855" s="1"/>
      <c r="G855" s="5"/>
      <c r="H855" s="1"/>
      <c r="I855" s="40"/>
      <c r="J855" s="8"/>
      <c r="K855" s="8"/>
      <c r="L855" s="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5"/>
      <c r="C856" s="1"/>
      <c r="D856" s="46"/>
      <c r="E856" s="1"/>
      <c r="F856" s="1"/>
      <c r="G856" s="5"/>
      <c r="H856" s="1"/>
      <c r="I856" s="40"/>
      <c r="J856" s="8"/>
      <c r="K856" s="8"/>
      <c r="L856" s="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5"/>
      <c r="C857" s="1"/>
      <c r="D857" s="46"/>
      <c r="E857" s="1"/>
      <c r="F857" s="1"/>
      <c r="G857" s="5"/>
      <c r="H857" s="1"/>
      <c r="I857" s="40"/>
      <c r="J857" s="8"/>
      <c r="K857" s="8"/>
      <c r="L857" s="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5"/>
      <c r="C858" s="1"/>
      <c r="D858" s="46"/>
      <c r="E858" s="1"/>
      <c r="F858" s="1"/>
      <c r="G858" s="5"/>
      <c r="H858" s="1"/>
      <c r="I858" s="40"/>
      <c r="J858" s="8"/>
      <c r="K858" s="8"/>
      <c r="L858" s="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5"/>
      <c r="C859" s="1"/>
      <c r="D859" s="46"/>
      <c r="E859" s="1"/>
      <c r="F859" s="1"/>
      <c r="G859" s="5"/>
      <c r="H859" s="1"/>
      <c r="I859" s="40"/>
      <c r="J859" s="8"/>
      <c r="K859" s="8"/>
      <c r="L859" s="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5"/>
      <c r="C860" s="1"/>
      <c r="D860" s="46"/>
      <c r="E860" s="1"/>
      <c r="F860" s="1"/>
      <c r="G860" s="5"/>
      <c r="H860" s="1"/>
      <c r="I860" s="40"/>
      <c r="J860" s="8"/>
      <c r="K860" s="8"/>
      <c r="L860" s="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5"/>
      <c r="C861" s="1"/>
      <c r="D861" s="46"/>
      <c r="E861" s="1"/>
      <c r="F861" s="1"/>
      <c r="G861" s="5"/>
      <c r="H861" s="1"/>
      <c r="I861" s="40"/>
      <c r="J861" s="8"/>
      <c r="K861" s="8"/>
      <c r="L861" s="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5"/>
      <c r="C862" s="1"/>
      <c r="D862" s="46"/>
      <c r="E862" s="1"/>
      <c r="F862" s="1"/>
      <c r="G862" s="5"/>
      <c r="H862" s="1"/>
      <c r="I862" s="40"/>
      <c r="J862" s="8"/>
      <c r="K862" s="8"/>
      <c r="L862" s="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5"/>
      <c r="C863" s="1"/>
      <c r="D863" s="46"/>
      <c r="E863" s="1"/>
      <c r="F863" s="1"/>
      <c r="G863" s="5"/>
      <c r="H863" s="1"/>
      <c r="I863" s="40"/>
      <c r="J863" s="8"/>
      <c r="K863" s="8"/>
      <c r="L863" s="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5"/>
      <c r="C864" s="1"/>
      <c r="D864" s="46"/>
      <c r="E864" s="1"/>
      <c r="F864" s="1"/>
      <c r="G864" s="5"/>
      <c r="H864" s="1"/>
      <c r="I864" s="40"/>
      <c r="J864" s="8"/>
      <c r="K864" s="8"/>
      <c r="L864" s="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5"/>
      <c r="C865" s="1"/>
      <c r="D865" s="46"/>
      <c r="E865" s="1"/>
      <c r="F865" s="1"/>
      <c r="G865" s="5"/>
      <c r="H865" s="1"/>
      <c r="I865" s="40"/>
      <c r="J865" s="8"/>
      <c r="K865" s="8"/>
      <c r="L865" s="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5"/>
      <c r="C866" s="1"/>
      <c r="D866" s="46"/>
      <c r="E866" s="1"/>
      <c r="F866" s="1"/>
      <c r="G866" s="5"/>
      <c r="H866" s="1"/>
      <c r="I866" s="40"/>
      <c r="J866" s="8"/>
      <c r="K866" s="8"/>
      <c r="L866" s="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5"/>
      <c r="C867" s="1"/>
      <c r="D867" s="46"/>
      <c r="E867" s="1"/>
      <c r="F867" s="1"/>
      <c r="G867" s="5"/>
      <c r="H867" s="1"/>
      <c r="I867" s="40"/>
      <c r="J867" s="8"/>
      <c r="K867" s="8"/>
      <c r="L867" s="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5"/>
      <c r="C868" s="1"/>
      <c r="D868" s="46"/>
      <c r="E868" s="1"/>
      <c r="F868" s="1"/>
      <c r="G868" s="5"/>
      <c r="H868" s="1"/>
      <c r="I868" s="40"/>
      <c r="J868" s="8"/>
      <c r="K868" s="8"/>
      <c r="L868" s="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5"/>
      <c r="C869" s="1"/>
      <c r="D869" s="46"/>
      <c r="E869" s="1"/>
      <c r="F869" s="1"/>
      <c r="G869" s="5"/>
      <c r="H869" s="1"/>
      <c r="I869" s="40"/>
      <c r="J869" s="8"/>
      <c r="K869" s="8"/>
      <c r="L869" s="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5"/>
      <c r="C870" s="1"/>
      <c r="D870" s="46"/>
      <c r="E870" s="1"/>
      <c r="F870" s="1"/>
      <c r="G870" s="5"/>
      <c r="H870" s="1"/>
      <c r="I870" s="40"/>
      <c r="J870" s="8"/>
      <c r="K870" s="8"/>
      <c r="L870" s="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5"/>
      <c r="C871" s="1"/>
      <c r="D871" s="46"/>
      <c r="E871" s="1"/>
      <c r="F871" s="1"/>
      <c r="G871" s="5"/>
      <c r="H871" s="1"/>
      <c r="I871" s="40"/>
      <c r="J871" s="8"/>
      <c r="K871" s="8"/>
      <c r="L871" s="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5"/>
      <c r="C872" s="1"/>
      <c r="D872" s="46"/>
      <c r="E872" s="1"/>
      <c r="F872" s="1"/>
      <c r="G872" s="5"/>
      <c r="H872" s="1"/>
      <c r="I872" s="40"/>
      <c r="J872" s="8"/>
      <c r="K872" s="8"/>
      <c r="L872" s="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5"/>
      <c r="C873" s="1"/>
      <c r="D873" s="46"/>
      <c r="E873" s="1"/>
      <c r="F873" s="1"/>
      <c r="G873" s="5"/>
      <c r="H873" s="1"/>
      <c r="I873" s="40"/>
      <c r="J873" s="8"/>
      <c r="K873" s="8"/>
      <c r="L873" s="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5"/>
      <c r="C874" s="1"/>
      <c r="D874" s="46"/>
      <c r="E874" s="1"/>
      <c r="F874" s="1"/>
      <c r="G874" s="5"/>
      <c r="H874" s="1"/>
      <c r="I874" s="40"/>
      <c r="J874" s="8"/>
      <c r="K874" s="8"/>
      <c r="L874" s="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5"/>
      <c r="C875" s="1"/>
      <c r="D875" s="46"/>
      <c r="E875" s="1"/>
      <c r="F875" s="1"/>
      <c r="G875" s="5"/>
      <c r="H875" s="1"/>
      <c r="I875" s="40"/>
      <c r="J875" s="8"/>
      <c r="K875" s="8"/>
      <c r="L875" s="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5"/>
      <c r="C876" s="1"/>
      <c r="D876" s="46"/>
      <c r="E876" s="1"/>
      <c r="F876" s="1"/>
      <c r="G876" s="5"/>
      <c r="H876" s="1"/>
      <c r="I876" s="40"/>
      <c r="J876" s="8"/>
      <c r="K876" s="8"/>
      <c r="L876" s="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5"/>
      <c r="C877" s="1"/>
      <c r="D877" s="46"/>
      <c r="E877" s="1"/>
      <c r="F877" s="1"/>
      <c r="G877" s="5"/>
      <c r="H877" s="1"/>
      <c r="I877" s="40"/>
      <c r="J877" s="8"/>
      <c r="K877" s="8"/>
      <c r="L877" s="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5"/>
      <c r="C878" s="1"/>
      <c r="D878" s="46"/>
      <c r="E878" s="1"/>
      <c r="F878" s="1"/>
      <c r="G878" s="5"/>
      <c r="H878" s="1"/>
      <c r="I878" s="40"/>
      <c r="J878" s="8"/>
      <c r="K878" s="8"/>
      <c r="L878" s="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5"/>
      <c r="C879" s="1"/>
      <c r="D879" s="46"/>
      <c r="E879" s="1"/>
      <c r="F879" s="1"/>
      <c r="G879" s="5"/>
      <c r="H879" s="1"/>
      <c r="I879" s="40"/>
      <c r="J879" s="8"/>
      <c r="K879" s="8"/>
      <c r="L879" s="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5"/>
      <c r="C880" s="1"/>
      <c r="D880" s="46"/>
      <c r="E880" s="1"/>
      <c r="F880" s="1"/>
      <c r="G880" s="5"/>
      <c r="H880" s="1"/>
      <c r="I880" s="40"/>
      <c r="J880" s="8"/>
      <c r="K880" s="8"/>
      <c r="L880" s="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5"/>
      <c r="C881" s="1"/>
      <c r="D881" s="46"/>
      <c r="E881" s="1"/>
      <c r="F881" s="1"/>
      <c r="G881" s="5"/>
      <c r="H881" s="1"/>
      <c r="I881" s="40"/>
      <c r="J881" s="8"/>
      <c r="K881" s="8"/>
      <c r="L881" s="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5"/>
      <c r="C882" s="1"/>
      <c r="D882" s="46"/>
      <c r="E882" s="1"/>
      <c r="F882" s="1"/>
      <c r="G882" s="5"/>
      <c r="H882" s="1"/>
      <c r="I882" s="40"/>
      <c r="J882" s="8"/>
      <c r="K882" s="8"/>
      <c r="L882" s="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5"/>
      <c r="C883" s="1"/>
      <c r="D883" s="46"/>
      <c r="E883" s="1"/>
      <c r="F883" s="1"/>
      <c r="G883" s="5"/>
      <c r="H883" s="1"/>
      <c r="I883" s="40"/>
      <c r="J883" s="8"/>
      <c r="K883" s="8"/>
      <c r="L883" s="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5"/>
      <c r="C884" s="1"/>
      <c r="D884" s="46"/>
      <c r="E884" s="1"/>
      <c r="F884" s="1"/>
      <c r="G884" s="5"/>
      <c r="H884" s="1"/>
      <c r="I884" s="40"/>
      <c r="J884" s="8"/>
      <c r="K884" s="8"/>
      <c r="L884" s="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5"/>
      <c r="C885" s="1"/>
      <c r="D885" s="46"/>
      <c r="E885" s="1"/>
      <c r="F885" s="1"/>
      <c r="G885" s="5"/>
      <c r="H885" s="1"/>
      <c r="I885" s="40"/>
      <c r="J885" s="8"/>
      <c r="K885" s="8"/>
      <c r="L885" s="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5"/>
      <c r="C886" s="1"/>
      <c r="D886" s="46"/>
      <c r="E886" s="1"/>
      <c r="F886" s="1"/>
      <c r="G886" s="5"/>
      <c r="H886" s="1"/>
      <c r="I886" s="40"/>
      <c r="J886" s="8"/>
      <c r="K886" s="8"/>
      <c r="L886" s="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5"/>
      <c r="C887" s="1"/>
      <c r="D887" s="46"/>
      <c r="E887" s="1"/>
      <c r="F887" s="1"/>
      <c r="G887" s="5"/>
      <c r="H887" s="1"/>
      <c r="I887" s="40"/>
      <c r="J887" s="8"/>
      <c r="K887" s="8"/>
      <c r="L887" s="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5"/>
      <c r="C888" s="1"/>
      <c r="D888" s="46"/>
      <c r="E888" s="1"/>
      <c r="F888" s="1"/>
      <c r="G888" s="5"/>
      <c r="H888" s="1"/>
      <c r="I888" s="40"/>
      <c r="J888" s="8"/>
      <c r="K888" s="8"/>
      <c r="L888" s="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5"/>
      <c r="C889" s="1"/>
      <c r="D889" s="46"/>
      <c r="E889" s="1"/>
      <c r="F889" s="1"/>
      <c r="G889" s="5"/>
      <c r="H889" s="1"/>
      <c r="I889" s="40"/>
      <c r="J889" s="8"/>
      <c r="K889" s="8"/>
      <c r="L889" s="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5"/>
      <c r="C890" s="1"/>
      <c r="D890" s="46"/>
      <c r="E890" s="1"/>
      <c r="F890" s="1"/>
      <c r="G890" s="5"/>
      <c r="H890" s="1"/>
      <c r="I890" s="40"/>
      <c r="J890" s="8"/>
      <c r="K890" s="8"/>
      <c r="L890" s="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5"/>
      <c r="C891" s="1"/>
      <c r="D891" s="46"/>
      <c r="E891" s="1"/>
      <c r="F891" s="1"/>
      <c r="G891" s="5"/>
      <c r="H891" s="1"/>
      <c r="I891" s="40"/>
      <c r="J891" s="8"/>
      <c r="K891" s="8"/>
      <c r="L891" s="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5"/>
      <c r="C892" s="1"/>
      <c r="D892" s="46"/>
      <c r="E892" s="1"/>
      <c r="F892" s="1"/>
      <c r="G892" s="5"/>
      <c r="H892" s="1"/>
      <c r="I892" s="40"/>
      <c r="J892" s="8"/>
      <c r="K892" s="8"/>
      <c r="L892" s="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5"/>
      <c r="C893" s="1"/>
      <c r="D893" s="46"/>
      <c r="E893" s="1"/>
      <c r="F893" s="1"/>
      <c r="G893" s="5"/>
      <c r="H893" s="1"/>
      <c r="I893" s="40"/>
      <c r="J893" s="8"/>
      <c r="K893" s="8"/>
      <c r="L893" s="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5"/>
      <c r="C894" s="1"/>
      <c r="D894" s="46"/>
      <c r="E894" s="1"/>
      <c r="F894" s="1"/>
      <c r="G894" s="5"/>
      <c r="H894" s="1"/>
      <c r="I894" s="40"/>
      <c r="J894" s="8"/>
      <c r="K894" s="8"/>
      <c r="L894" s="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5"/>
      <c r="C895" s="1"/>
      <c r="D895" s="46"/>
      <c r="E895" s="1"/>
      <c r="F895" s="1"/>
      <c r="G895" s="5"/>
      <c r="H895" s="1"/>
      <c r="I895" s="40"/>
      <c r="J895" s="8"/>
      <c r="K895" s="8"/>
      <c r="L895" s="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5"/>
      <c r="C896" s="1"/>
      <c r="D896" s="46"/>
      <c r="E896" s="1"/>
      <c r="F896" s="1"/>
      <c r="G896" s="5"/>
      <c r="H896" s="1"/>
      <c r="I896" s="40"/>
      <c r="J896" s="8"/>
      <c r="K896" s="8"/>
      <c r="L896" s="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5"/>
      <c r="C897" s="1"/>
      <c r="D897" s="46"/>
      <c r="E897" s="1"/>
      <c r="F897" s="1"/>
      <c r="G897" s="5"/>
      <c r="H897" s="1"/>
      <c r="I897" s="40"/>
      <c r="J897" s="8"/>
      <c r="K897" s="8"/>
      <c r="L897" s="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5"/>
      <c r="C898" s="1"/>
      <c r="D898" s="46"/>
      <c r="E898" s="1"/>
      <c r="F898" s="1"/>
      <c r="G898" s="5"/>
      <c r="H898" s="1"/>
      <c r="I898" s="40"/>
      <c r="J898" s="8"/>
      <c r="K898" s="8"/>
      <c r="L898" s="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5"/>
      <c r="C899" s="1"/>
      <c r="D899" s="46"/>
      <c r="E899" s="1"/>
      <c r="F899" s="1"/>
      <c r="G899" s="5"/>
      <c r="H899" s="1"/>
      <c r="I899" s="40"/>
      <c r="J899" s="8"/>
      <c r="K899" s="8"/>
      <c r="L899" s="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5"/>
      <c r="C900" s="1"/>
      <c r="D900" s="46"/>
      <c r="E900" s="1"/>
      <c r="F900" s="1"/>
      <c r="G900" s="5"/>
      <c r="H900" s="1"/>
      <c r="I900" s="40"/>
      <c r="J900" s="8"/>
      <c r="K900" s="8"/>
      <c r="L900" s="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5"/>
      <c r="C901" s="1"/>
      <c r="D901" s="46"/>
      <c r="E901" s="1"/>
      <c r="F901" s="1"/>
      <c r="G901" s="5"/>
      <c r="H901" s="1"/>
      <c r="I901" s="40"/>
      <c r="J901" s="8"/>
      <c r="K901" s="8"/>
      <c r="L901" s="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5"/>
      <c r="C902" s="1"/>
      <c r="D902" s="46"/>
      <c r="E902" s="1"/>
      <c r="F902" s="1"/>
      <c r="G902" s="5"/>
      <c r="H902" s="1"/>
      <c r="I902" s="40"/>
      <c r="J902" s="8"/>
      <c r="K902" s="8"/>
      <c r="L902" s="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5"/>
      <c r="C903" s="1"/>
      <c r="D903" s="46"/>
      <c r="E903" s="1"/>
      <c r="F903" s="1"/>
      <c r="G903" s="5"/>
      <c r="H903" s="1"/>
      <c r="I903" s="40"/>
      <c r="J903" s="8"/>
      <c r="K903" s="8"/>
      <c r="L903" s="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5"/>
      <c r="C904" s="1"/>
      <c r="D904" s="46"/>
      <c r="E904" s="1"/>
      <c r="F904" s="1"/>
      <c r="G904" s="5"/>
      <c r="H904" s="1"/>
      <c r="I904" s="40"/>
      <c r="J904" s="8"/>
      <c r="K904" s="8"/>
      <c r="L904" s="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5"/>
      <c r="C905" s="1"/>
      <c r="D905" s="46"/>
      <c r="E905" s="1"/>
      <c r="F905" s="1"/>
      <c r="G905" s="5"/>
      <c r="H905" s="1"/>
      <c r="I905" s="40"/>
      <c r="J905" s="8"/>
      <c r="K905" s="8"/>
      <c r="L905" s="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5"/>
      <c r="C906" s="1"/>
      <c r="D906" s="46"/>
      <c r="E906" s="1"/>
      <c r="F906" s="1"/>
      <c r="G906" s="5"/>
      <c r="H906" s="1"/>
      <c r="I906" s="40"/>
      <c r="J906" s="8"/>
      <c r="K906" s="8"/>
      <c r="L906" s="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5"/>
      <c r="C907" s="1"/>
      <c r="D907" s="46"/>
      <c r="E907" s="1"/>
      <c r="F907" s="1"/>
      <c r="G907" s="5"/>
      <c r="H907" s="1"/>
      <c r="I907" s="40"/>
      <c r="J907" s="8"/>
      <c r="K907" s="8"/>
      <c r="L907" s="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5"/>
      <c r="C908" s="1"/>
      <c r="D908" s="46"/>
      <c r="E908" s="1"/>
      <c r="F908" s="1"/>
      <c r="G908" s="5"/>
      <c r="H908" s="1"/>
      <c r="I908" s="40"/>
      <c r="J908" s="8"/>
      <c r="K908" s="8"/>
      <c r="L908" s="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5"/>
      <c r="C909" s="1"/>
      <c r="D909" s="46"/>
      <c r="E909" s="1"/>
      <c r="F909" s="1"/>
      <c r="G909" s="5"/>
      <c r="H909" s="1"/>
      <c r="I909" s="40"/>
      <c r="J909" s="8"/>
      <c r="K909" s="8"/>
      <c r="L909" s="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5"/>
      <c r="C910" s="1"/>
      <c r="D910" s="46"/>
      <c r="E910" s="1"/>
      <c r="F910" s="1"/>
      <c r="G910" s="5"/>
      <c r="H910" s="1"/>
      <c r="I910" s="40"/>
      <c r="J910" s="8"/>
      <c r="K910" s="8"/>
      <c r="L910" s="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5"/>
      <c r="C911" s="1"/>
      <c r="D911" s="46"/>
      <c r="E911" s="1"/>
      <c r="F911" s="1"/>
      <c r="G911" s="5"/>
      <c r="H911" s="1"/>
      <c r="I911" s="40"/>
      <c r="J911" s="8"/>
      <c r="K911" s="8"/>
      <c r="L911" s="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5"/>
      <c r="C912" s="1"/>
      <c r="D912" s="46"/>
      <c r="E912" s="1"/>
      <c r="F912" s="1"/>
      <c r="G912" s="5"/>
      <c r="H912" s="1"/>
      <c r="I912" s="40"/>
      <c r="J912" s="8"/>
      <c r="K912" s="8"/>
      <c r="L912" s="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5"/>
      <c r="C913" s="1"/>
      <c r="D913" s="46"/>
      <c r="E913" s="1"/>
      <c r="F913" s="1"/>
      <c r="G913" s="5"/>
      <c r="H913" s="1"/>
      <c r="I913" s="40"/>
      <c r="J913" s="8"/>
      <c r="K913" s="8"/>
      <c r="L913" s="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5"/>
      <c r="C914" s="1"/>
      <c r="D914" s="46"/>
      <c r="E914" s="1"/>
      <c r="F914" s="1"/>
      <c r="G914" s="5"/>
      <c r="H914" s="1"/>
      <c r="I914" s="40"/>
      <c r="J914" s="8"/>
      <c r="K914" s="8"/>
      <c r="L914" s="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5"/>
      <c r="C915" s="1"/>
      <c r="D915" s="46"/>
      <c r="E915" s="1"/>
      <c r="F915" s="1"/>
      <c r="G915" s="5"/>
      <c r="H915" s="1"/>
      <c r="I915" s="40"/>
      <c r="J915" s="8"/>
      <c r="K915" s="8"/>
      <c r="L915" s="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5"/>
      <c r="C916" s="1"/>
      <c r="D916" s="46"/>
      <c r="E916" s="1"/>
      <c r="F916" s="1"/>
      <c r="G916" s="5"/>
      <c r="H916" s="1"/>
      <c r="I916" s="40"/>
      <c r="J916" s="8"/>
      <c r="K916" s="8"/>
      <c r="L916" s="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5"/>
      <c r="C917" s="1"/>
      <c r="D917" s="46"/>
      <c r="E917" s="1"/>
      <c r="F917" s="1"/>
      <c r="G917" s="5"/>
      <c r="H917" s="1"/>
      <c r="I917" s="40"/>
      <c r="J917" s="8"/>
      <c r="K917" s="8"/>
      <c r="L917" s="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5"/>
      <c r="C918" s="1"/>
      <c r="D918" s="46"/>
      <c r="E918" s="1"/>
      <c r="F918" s="1"/>
      <c r="G918" s="5"/>
      <c r="H918" s="1"/>
      <c r="I918" s="40"/>
      <c r="J918" s="8"/>
      <c r="K918" s="8"/>
      <c r="L918" s="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5"/>
      <c r="C919" s="1"/>
      <c r="D919" s="46"/>
      <c r="E919" s="1"/>
      <c r="F919" s="1"/>
      <c r="G919" s="5"/>
      <c r="H919" s="1"/>
      <c r="I919" s="40"/>
      <c r="J919" s="8"/>
      <c r="K919" s="8"/>
      <c r="L919" s="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5"/>
      <c r="C920" s="1"/>
      <c r="D920" s="46"/>
      <c r="E920" s="1"/>
      <c r="F920" s="1"/>
      <c r="G920" s="5"/>
      <c r="H920" s="1"/>
      <c r="I920" s="40"/>
      <c r="J920" s="8"/>
      <c r="K920" s="8"/>
      <c r="L920" s="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5"/>
      <c r="C921" s="1"/>
      <c r="D921" s="46"/>
      <c r="E921" s="1"/>
      <c r="F921" s="1"/>
      <c r="G921" s="5"/>
      <c r="H921" s="1"/>
      <c r="I921" s="40"/>
      <c r="J921" s="8"/>
      <c r="K921" s="8"/>
      <c r="L921" s="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5"/>
      <c r="C922" s="1"/>
      <c r="D922" s="46"/>
      <c r="E922" s="1"/>
      <c r="F922" s="1"/>
      <c r="G922" s="5"/>
      <c r="H922" s="1"/>
      <c r="I922" s="40"/>
      <c r="J922" s="8"/>
      <c r="K922" s="8"/>
      <c r="L922" s="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5"/>
      <c r="C923" s="1"/>
      <c r="D923" s="46"/>
      <c r="E923" s="1"/>
      <c r="F923" s="1"/>
      <c r="G923" s="5"/>
      <c r="H923" s="1"/>
      <c r="I923" s="40"/>
      <c r="J923" s="8"/>
      <c r="K923" s="8"/>
      <c r="L923" s="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5"/>
      <c r="C924" s="1"/>
      <c r="D924" s="46"/>
      <c r="E924" s="1"/>
      <c r="F924" s="1"/>
      <c r="G924" s="5"/>
      <c r="H924" s="1"/>
      <c r="I924" s="40"/>
      <c r="J924" s="8"/>
      <c r="K924" s="8"/>
      <c r="L924" s="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5"/>
      <c r="C925" s="1"/>
      <c r="D925" s="46"/>
      <c r="E925" s="1"/>
      <c r="F925" s="1"/>
      <c r="G925" s="5"/>
      <c r="H925" s="1"/>
      <c r="I925" s="40"/>
      <c r="J925" s="8"/>
      <c r="K925" s="8"/>
      <c r="L925" s="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5"/>
      <c r="C926" s="1"/>
      <c r="D926" s="46"/>
      <c r="E926" s="1"/>
      <c r="F926" s="1"/>
      <c r="G926" s="5"/>
      <c r="H926" s="1"/>
      <c r="I926" s="40"/>
      <c r="J926" s="8"/>
      <c r="K926" s="8"/>
      <c r="L926" s="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5"/>
      <c r="C927" s="1"/>
      <c r="D927" s="46"/>
      <c r="E927" s="1"/>
      <c r="F927" s="1"/>
      <c r="G927" s="5"/>
      <c r="H927" s="1"/>
      <c r="I927" s="40"/>
      <c r="J927" s="8"/>
      <c r="K927" s="8"/>
      <c r="L927" s="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5"/>
      <c r="C928" s="1"/>
      <c r="D928" s="46"/>
      <c r="E928" s="1"/>
      <c r="F928" s="1"/>
      <c r="G928" s="5"/>
      <c r="H928" s="1"/>
      <c r="I928" s="40"/>
      <c r="J928" s="8"/>
      <c r="K928" s="8"/>
      <c r="L928" s="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5"/>
      <c r="C929" s="1"/>
      <c r="D929" s="46"/>
      <c r="E929" s="1"/>
      <c r="F929" s="1"/>
      <c r="G929" s="5"/>
      <c r="H929" s="1"/>
      <c r="I929" s="40"/>
      <c r="J929" s="8"/>
      <c r="K929" s="8"/>
      <c r="L929" s="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5"/>
      <c r="C930" s="1"/>
      <c r="D930" s="46"/>
      <c r="E930" s="1"/>
      <c r="F930" s="1"/>
      <c r="G930" s="5"/>
      <c r="H930" s="1"/>
      <c r="I930" s="40"/>
      <c r="J930" s="8"/>
      <c r="K930" s="8"/>
      <c r="L930" s="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5"/>
      <c r="C931" s="1"/>
      <c r="D931" s="46"/>
      <c r="E931" s="1"/>
      <c r="F931" s="1"/>
      <c r="G931" s="5"/>
      <c r="H931" s="1"/>
      <c r="I931" s="40"/>
      <c r="J931" s="8"/>
      <c r="K931" s="8"/>
      <c r="L931" s="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5"/>
      <c r="C932" s="1"/>
      <c r="D932" s="46"/>
      <c r="E932" s="1"/>
      <c r="F932" s="1"/>
      <c r="G932" s="5"/>
      <c r="H932" s="1"/>
      <c r="I932" s="40"/>
      <c r="J932" s="8"/>
      <c r="K932" s="8"/>
      <c r="L932" s="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5"/>
      <c r="C933" s="1"/>
      <c r="D933" s="46"/>
      <c r="E933" s="1"/>
      <c r="F933" s="1"/>
      <c r="G933" s="5"/>
      <c r="H933" s="1"/>
      <c r="I933" s="40"/>
      <c r="J933" s="8"/>
      <c r="K933" s="8"/>
      <c r="L933" s="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5"/>
      <c r="C934" s="1"/>
      <c r="D934" s="46"/>
      <c r="E934" s="1"/>
      <c r="F934" s="1"/>
      <c r="G934" s="5"/>
      <c r="H934" s="1"/>
      <c r="I934" s="40"/>
      <c r="J934" s="8"/>
      <c r="K934" s="8"/>
      <c r="L934" s="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5"/>
      <c r="C935" s="1"/>
      <c r="D935" s="46"/>
      <c r="E935" s="1"/>
      <c r="F935" s="1"/>
      <c r="G935" s="5"/>
      <c r="H935" s="1"/>
      <c r="I935" s="40"/>
      <c r="J935" s="8"/>
      <c r="K935" s="8"/>
      <c r="L935" s="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5"/>
      <c r="C936" s="1"/>
      <c r="D936" s="46"/>
      <c r="E936" s="1"/>
      <c r="F936" s="1"/>
      <c r="G936" s="5"/>
      <c r="H936" s="1"/>
      <c r="I936" s="40"/>
      <c r="J936" s="8"/>
      <c r="K936" s="8"/>
      <c r="L936" s="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5"/>
      <c r="C937" s="1"/>
      <c r="D937" s="46"/>
      <c r="E937" s="1"/>
      <c r="F937" s="1"/>
      <c r="G937" s="5"/>
      <c r="H937" s="1"/>
      <c r="I937" s="40"/>
      <c r="J937" s="8"/>
      <c r="K937" s="8"/>
      <c r="L937" s="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5"/>
      <c r="C938" s="1"/>
      <c r="D938" s="46"/>
      <c r="E938" s="1"/>
      <c r="F938" s="1"/>
      <c r="G938" s="5"/>
      <c r="H938" s="1"/>
      <c r="I938" s="40"/>
      <c r="J938" s="8"/>
      <c r="K938" s="8"/>
      <c r="L938" s="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5"/>
      <c r="C939" s="1"/>
      <c r="D939" s="46"/>
      <c r="E939" s="1"/>
      <c r="F939" s="1"/>
      <c r="G939" s="5"/>
      <c r="H939" s="1"/>
      <c r="I939" s="40"/>
      <c r="J939" s="8"/>
      <c r="K939" s="8"/>
      <c r="L939" s="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5"/>
      <c r="C940" s="1"/>
      <c r="D940" s="46"/>
      <c r="E940" s="1"/>
      <c r="F940" s="1"/>
      <c r="G940" s="5"/>
      <c r="H940" s="1"/>
      <c r="I940" s="40"/>
      <c r="J940" s="8"/>
      <c r="K940" s="8"/>
      <c r="L940" s="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5"/>
      <c r="C941" s="1"/>
      <c r="D941" s="46"/>
      <c r="E941" s="1"/>
      <c r="F941" s="1"/>
      <c r="G941" s="5"/>
      <c r="H941" s="1"/>
      <c r="I941" s="40"/>
      <c r="J941" s="8"/>
      <c r="K941" s="8"/>
      <c r="L941" s="8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5"/>
      <c r="C942" s="1"/>
      <c r="D942" s="46"/>
      <c r="E942" s="1"/>
      <c r="F942" s="1"/>
      <c r="G942" s="5"/>
      <c r="H942" s="1"/>
      <c r="I942" s="40"/>
      <c r="J942" s="8"/>
      <c r="K942" s="8"/>
      <c r="L942" s="8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5"/>
      <c r="C943" s="1"/>
      <c r="D943" s="46"/>
      <c r="E943" s="1"/>
      <c r="F943" s="1"/>
      <c r="G943" s="5"/>
      <c r="H943" s="1"/>
      <c r="I943" s="40"/>
      <c r="J943" s="8"/>
      <c r="K943" s="8"/>
      <c r="L943" s="8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5"/>
      <c r="C944" s="1"/>
      <c r="D944" s="46"/>
      <c r="E944" s="1"/>
      <c r="F944" s="1"/>
      <c r="G944" s="5"/>
      <c r="H944" s="1"/>
      <c r="I944" s="40"/>
      <c r="J944" s="8"/>
      <c r="K944" s="8"/>
      <c r="L944" s="8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5"/>
      <c r="C945" s="1"/>
      <c r="D945" s="46"/>
      <c r="E945" s="1"/>
      <c r="F945" s="1"/>
      <c r="G945" s="5"/>
      <c r="H945" s="1"/>
      <c r="I945" s="40"/>
      <c r="J945" s="8"/>
      <c r="K945" s="8"/>
      <c r="L945" s="8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5"/>
      <c r="C946" s="1"/>
      <c r="D946" s="46"/>
      <c r="E946" s="1"/>
      <c r="F946" s="1"/>
      <c r="G946" s="5"/>
      <c r="H946" s="1"/>
      <c r="I946" s="40"/>
      <c r="J946" s="8"/>
      <c r="K946" s="8"/>
      <c r="L946" s="8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5"/>
      <c r="C947" s="1"/>
      <c r="D947" s="46"/>
      <c r="E947" s="1"/>
      <c r="F947" s="1"/>
      <c r="G947" s="5"/>
      <c r="H947" s="1"/>
      <c r="I947" s="40"/>
      <c r="J947" s="8"/>
      <c r="K947" s="8"/>
      <c r="L947" s="8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5"/>
      <c r="C948" s="1"/>
      <c r="D948" s="46"/>
      <c r="E948" s="1"/>
      <c r="F948" s="1"/>
      <c r="G948" s="5"/>
      <c r="H948" s="1"/>
      <c r="I948" s="40"/>
      <c r="J948" s="8"/>
      <c r="K948" s="8"/>
      <c r="L948" s="8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5"/>
      <c r="C949" s="1"/>
      <c r="D949" s="46"/>
      <c r="E949" s="1"/>
      <c r="F949" s="1"/>
      <c r="G949" s="5"/>
      <c r="H949" s="1"/>
      <c r="I949" s="40"/>
      <c r="J949" s="8"/>
      <c r="K949" s="8"/>
      <c r="L949" s="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5"/>
      <c r="C950" s="1"/>
      <c r="D950" s="46"/>
      <c r="E950" s="1"/>
      <c r="F950" s="1"/>
      <c r="G950" s="5"/>
      <c r="H950" s="1"/>
      <c r="I950" s="40"/>
      <c r="J950" s="8"/>
      <c r="K950" s="8"/>
      <c r="L950" s="8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5"/>
      <c r="C951" s="1"/>
      <c r="D951" s="46"/>
      <c r="E951" s="1"/>
      <c r="F951" s="1"/>
      <c r="G951" s="5"/>
      <c r="H951" s="1"/>
      <c r="I951" s="40"/>
      <c r="J951" s="8"/>
      <c r="K951" s="8"/>
      <c r="L951" s="8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5"/>
      <c r="C952" s="1"/>
      <c r="D952" s="46"/>
      <c r="E952" s="1"/>
      <c r="F952" s="1"/>
      <c r="G952" s="5"/>
      <c r="H952" s="1"/>
      <c r="I952" s="40"/>
      <c r="J952" s="8"/>
      <c r="K952" s="8"/>
      <c r="L952" s="8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5"/>
      <c r="C953" s="1"/>
      <c r="D953" s="46"/>
      <c r="E953" s="1"/>
      <c r="F953" s="1"/>
      <c r="G953" s="5"/>
      <c r="H953" s="1"/>
      <c r="I953" s="40"/>
      <c r="J953" s="8"/>
      <c r="K953" s="8"/>
      <c r="L953" s="8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5"/>
      <c r="C954" s="1"/>
      <c r="D954" s="46"/>
      <c r="E954" s="1"/>
      <c r="F954" s="1"/>
      <c r="G954" s="5"/>
      <c r="H954" s="1"/>
      <c r="I954" s="40"/>
      <c r="J954" s="8"/>
      <c r="K954" s="8"/>
      <c r="L954" s="8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5"/>
      <c r="C955" s="1"/>
      <c r="D955" s="46"/>
      <c r="E955" s="1"/>
      <c r="F955" s="1"/>
      <c r="G955" s="5"/>
      <c r="H955" s="1"/>
      <c r="I955" s="40"/>
      <c r="J955" s="8"/>
      <c r="K955" s="8"/>
      <c r="L955" s="8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5"/>
      <c r="C956" s="1"/>
      <c r="D956" s="46"/>
      <c r="E956" s="1"/>
      <c r="F956" s="1"/>
      <c r="G956" s="5"/>
      <c r="H956" s="1"/>
      <c r="I956" s="40"/>
      <c r="J956" s="8"/>
      <c r="K956" s="8"/>
      <c r="L956" s="8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5"/>
      <c r="C957" s="1"/>
      <c r="D957" s="46"/>
      <c r="E957" s="1"/>
      <c r="F957" s="1"/>
      <c r="G957" s="5"/>
      <c r="H957" s="1"/>
      <c r="I957" s="40"/>
      <c r="J957" s="8"/>
      <c r="K957" s="8"/>
      <c r="L957" s="8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5"/>
      <c r="C958" s="1"/>
      <c r="D958" s="46"/>
      <c r="E958" s="1"/>
      <c r="F958" s="1"/>
      <c r="G958" s="5"/>
      <c r="H958" s="1"/>
      <c r="I958" s="40"/>
      <c r="J958" s="8"/>
      <c r="K958" s="8"/>
      <c r="L958" s="8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5"/>
      <c r="C959" s="1"/>
      <c r="D959" s="46"/>
      <c r="E959" s="1"/>
      <c r="F959" s="1"/>
      <c r="G959" s="5"/>
      <c r="H959" s="1"/>
      <c r="I959" s="40"/>
      <c r="J959" s="8"/>
      <c r="K959" s="8"/>
      <c r="L959" s="8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5"/>
      <c r="C960" s="1"/>
      <c r="D960" s="46"/>
      <c r="E960" s="1"/>
      <c r="F960" s="1"/>
      <c r="G960" s="5"/>
      <c r="H960" s="1"/>
      <c r="I960" s="40"/>
      <c r="J960" s="8"/>
      <c r="K960" s="8"/>
      <c r="L960" s="8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5"/>
      <c r="C961" s="1"/>
      <c r="D961" s="46"/>
      <c r="E961" s="1"/>
      <c r="F961" s="1"/>
      <c r="G961" s="5"/>
      <c r="H961" s="1"/>
      <c r="I961" s="40"/>
      <c r="J961" s="8"/>
      <c r="K961" s="8"/>
      <c r="L961" s="8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5"/>
      <c r="C962" s="1"/>
      <c r="D962" s="46"/>
      <c r="E962" s="1"/>
      <c r="F962" s="1"/>
      <c r="G962" s="5"/>
      <c r="H962" s="1"/>
      <c r="I962" s="40"/>
      <c r="J962" s="8"/>
      <c r="K962" s="8"/>
      <c r="L962" s="8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5"/>
      <c r="C963" s="1"/>
      <c r="D963" s="46"/>
      <c r="E963" s="1"/>
      <c r="F963" s="1"/>
      <c r="G963" s="5"/>
      <c r="H963" s="1"/>
      <c r="I963" s="40"/>
      <c r="J963" s="8"/>
      <c r="K963" s="8"/>
      <c r="L963" s="8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5"/>
      <c r="C964" s="1"/>
      <c r="D964" s="46"/>
      <c r="E964" s="1"/>
      <c r="F964" s="1"/>
      <c r="G964" s="5"/>
      <c r="H964" s="1"/>
      <c r="I964" s="40"/>
      <c r="J964" s="8"/>
      <c r="K964" s="8"/>
      <c r="L964" s="8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5"/>
      <c r="C965" s="1"/>
      <c r="D965" s="46"/>
      <c r="E965" s="1"/>
      <c r="F965" s="1"/>
      <c r="G965" s="5"/>
      <c r="H965" s="1"/>
      <c r="I965" s="40"/>
      <c r="J965" s="8"/>
      <c r="K965" s="8"/>
      <c r="L965" s="8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5"/>
      <c r="C966" s="1"/>
      <c r="D966" s="46"/>
      <c r="E966" s="1"/>
      <c r="F966" s="1"/>
      <c r="G966" s="5"/>
      <c r="H966" s="1"/>
      <c r="I966" s="40"/>
      <c r="J966" s="8"/>
      <c r="K966" s="8"/>
      <c r="L966" s="8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5"/>
      <c r="C967" s="1"/>
      <c r="D967" s="46"/>
      <c r="E967" s="1"/>
      <c r="F967" s="1"/>
      <c r="G967" s="5"/>
      <c r="H967" s="1"/>
      <c r="I967" s="40"/>
      <c r="J967" s="8"/>
      <c r="K967" s="8"/>
      <c r="L967" s="8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5"/>
      <c r="C968" s="1"/>
      <c r="D968" s="46"/>
      <c r="E968" s="1"/>
      <c r="F968" s="1"/>
      <c r="G968" s="5"/>
      <c r="H968" s="1"/>
      <c r="I968" s="40"/>
      <c r="J968" s="8"/>
      <c r="K968" s="8"/>
      <c r="L968" s="8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5"/>
      <c r="C969" s="1"/>
      <c r="D969" s="46"/>
      <c r="E969" s="1"/>
      <c r="F969" s="1"/>
      <c r="G969" s="5"/>
      <c r="H969" s="1"/>
      <c r="I969" s="40"/>
      <c r="J969" s="8"/>
      <c r="K969" s="8"/>
      <c r="L969" s="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5"/>
      <c r="C970" s="1"/>
      <c r="D970" s="46"/>
      <c r="E970" s="1"/>
      <c r="F970" s="1"/>
      <c r="G970" s="5"/>
      <c r="H970" s="1"/>
      <c r="I970" s="40"/>
      <c r="J970" s="8"/>
      <c r="K970" s="8"/>
      <c r="L970" s="8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5"/>
      <c r="C971" s="1"/>
      <c r="D971" s="46"/>
      <c r="E971" s="1"/>
      <c r="F971" s="1"/>
      <c r="G971" s="5"/>
      <c r="H971" s="1"/>
      <c r="I971" s="40"/>
      <c r="J971" s="8"/>
      <c r="K971" s="8"/>
      <c r="L971" s="8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5"/>
      <c r="C972" s="1"/>
      <c r="D972" s="46"/>
      <c r="E972" s="1"/>
      <c r="F972" s="1"/>
      <c r="G972" s="5"/>
      <c r="H972" s="1"/>
      <c r="I972" s="40"/>
      <c r="J972" s="8"/>
      <c r="K972" s="8"/>
      <c r="L972" s="8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5"/>
      <c r="C973" s="1"/>
      <c r="D973" s="46"/>
      <c r="E973" s="1"/>
      <c r="F973" s="1"/>
      <c r="G973" s="5"/>
      <c r="H973" s="1"/>
      <c r="I973" s="40"/>
      <c r="J973" s="8"/>
      <c r="K973" s="8"/>
      <c r="L973" s="8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5"/>
      <c r="C974" s="1"/>
      <c r="D974" s="46"/>
      <c r="E974" s="1"/>
      <c r="F974" s="1"/>
      <c r="G974" s="5"/>
      <c r="H974" s="1"/>
      <c r="I974" s="40"/>
      <c r="J974" s="8"/>
      <c r="K974" s="8"/>
      <c r="L974" s="8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5"/>
      <c r="C975" s="1"/>
      <c r="D975" s="46"/>
      <c r="E975" s="1"/>
      <c r="F975" s="1"/>
      <c r="G975" s="5"/>
      <c r="H975" s="1"/>
      <c r="I975" s="40"/>
      <c r="J975" s="8"/>
      <c r="K975" s="8"/>
      <c r="L975" s="8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5"/>
      <c r="C976" s="1"/>
      <c r="D976" s="46"/>
      <c r="E976" s="1"/>
      <c r="F976" s="1"/>
      <c r="G976" s="5"/>
      <c r="H976" s="1"/>
      <c r="I976" s="40"/>
      <c r="J976" s="8"/>
      <c r="K976" s="8"/>
      <c r="L976" s="8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5"/>
      <c r="C977" s="1"/>
      <c r="D977" s="46"/>
      <c r="E977" s="1"/>
      <c r="F977" s="1"/>
      <c r="G977" s="5"/>
      <c r="H977" s="1"/>
      <c r="I977" s="40"/>
      <c r="J977" s="8"/>
      <c r="K977" s="8"/>
      <c r="L977" s="8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5"/>
      <c r="C978" s="1"/>
      <c r="D978" s="46"/>
      <c r="E978" s="1"/>
      <c r="F978" s="1"/>
      <c r="G978" s="5"/>
      <c r="H978" s="1"/>
      <c r="I978" s="40"/>
      <c r="J978" s="8"/>
      <c r="K978" s="8"/>
      <c r="L978" s="8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5"/>
      <c r="C979" s="1"/>
      <c r="D979" s="46"/>
      <c r="E979" s="1"/>
      <c r="F979" s="1"/>
      <c r="G979" s="5"/>
      <c r="H979" s="1"/>
      <c r="I979" s="40"/>
      <c r="J979" s="8"/>
      <c r="K979" s="8"/>
      <c r="L979" s="8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5"/>
      <c r="C980" s="1"/>
      <c r="D980" s="46"/>
      <c r="E980" s="1"/>
      <c r="F980" s="1"/>
      <c r="G980" s="5"/>
      <c r="H980" s="1"/>
      <c r="I980" s="40"/>
      <c r="J980" s="8"/>
      <c r="K980" s="8"/>
      <c r="L980" s="8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5"/>
      <c r="C981" s="1"/>
      <c r="D981" s="46"/>
      <c r="E981" s="1"/>
      <c r="F981" s="1"/>
      <c r="G981" s="5"/>
      <c r="H981" s="1"/>
      <c r="I981" s="40"/>
      <c r="J981" s="8"/>
      <c r="K981" s="8"/>
      <c r="L981" s="8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5"/>
      <c r="C982" s="1"/>
      <c r="D982" s="46"/>
      <c r="E982" s="1"/>
      <c r="F982" s="1"/>
      <c r="G982" s="5"/>
      <c r="H982" s="1"/>
      <c r="I982" s="40"/>
      <c r="J982" s="8"/>
      <c r="K982" s="8"/>
      <c r="L982" s="8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5"/>
      <c r="C983" s="1"/>
      <c r="D983" s="46"/>
      <c r="E983" s="1"/>
      <c r="F983" s="1"/>
      <c r="G983" s="5"/>
      <c r="H983" s="1"/>
      <c r="I983" s="40"/>
      <c r="J983" s="8"/>
      <c r="K983" s="8"/>
      <c r="L983" s="8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5"/>
      <c r="C984" s="1"/>
      <c r="D984" s="46"/>
      <c r="E984" s="1"/>
      <c r="F984" s="1"/>
      <c r="G984" s="5"/>
      <c r="H984" s="1"/>
      <c r="I984" s="40"/>
      <c r="J984" s="8"/>
      <c r="K984" s="8"/>
      <c r="L984" s="8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5"/>
      <c r="C985" s="1"/>
      <c r="D985" s="46"/>
      <c r="E985" s="1"/>
      <c r="F985" s="1"/>
      <c r="G985" s="5"/>
      <c r="H985" s="1"/>
      <c r="I985" s="40"/>
      <c r="J985" s="8"/>
      <c r="K985" s="8"/>
      <c r="L985" s="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5"/>
      <c r="C986" s="1"/>
      <c r="D986" s="46"/>
      <c r="E986" s="1"/>
      <c r="F986" s="1"/>
      <c r="G986" s="5"/>
      <c r="H986" s="1"/>
      <c r="I986" s="40"/>
      <c r="J986" s="8"/>
      <c r="K986" s="8"/>
      <c r="L986" s="8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5"/>
      <c r="C987" s="1"/>
      <c r="D987" s="46"/>
      <c r="E987" s="1"/>
      <c r="F987" s="1"/>
      <c r="G987" s="5"/>
      <c r="H987" s="1"/>
      <c r="I987" s="40"/>
      <c r="J987" s="8"/>
      <c r="K987" s="8"/>
      <c r="L987" s="8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5"/>
      <c r="C988" s="1"/>
      <c r="D988" s="46"/>
      <c r="E988" s="1"/>
      <c r="F988" s="1"/>
      <c r="G988" s="5"/>
      <c r="H988" s="1"/>
      <c r="I988" s="40"/>
      <c r="J988" s="8"/>
      <c r="K988" s="8"/>
      <c r="L988" s="8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5"/>
      <c r="C989" s="1"/>
      <c r="D989" s="46"/>
      <c r="E989" s="1"/>
      <c r="F989" s="1"/>
      <c r="G989" s="5"/>
      <c r="H989" s="1"/>
      <c r="I989" s="40"/>
      <c r="J989" s="8"/>
      <c r="K989" s="8"/>
      <c r="L989" s="8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5"/>
      <c r="C990" s="1"/>
      <c r="D990" s="46"/>
      <c r="E990" s="1"/>
      <c r="F990" s="1"/>
      <c r="G990" s="5"/>
      <c r="H990" s="1"/>
      <c r="I990" s="40"/>
      <c r="J990" s="8"/>
      <c r="K990" s="8"/>
      <c r="L990" s="8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5"/>
      <c r="C991" s="1"/>
      <c r="D991" s="46"/>
      <c r="E991" s="1"/>
      <c r="F991" s="1"/>
      <c r="G991" s="5"/>
      <c r="H991" s="1"/>
      <c r="I991" s="40"/>
      <c r="J991" s="8"/>
      <c r="K991" s="8"/>
      <c r="L991" s="8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5"/>
      <c r="C992" s="1"/>
      <c r="D992" s="46"/>
      <c r="E992" s="1"/>
      <c r="F992" s="1"/>
      <c r="G992" s="5"/>
      <c r="H992" s="1"/>
      <c r="I992" s="40"/>
      <c r="J992" s="8"/>
      <c r="K992" s="8"/>
      <c r="L992" s="8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5"/>
      <c r="C993" s="1"/>
      <c r="D993" s="46"/>
      <c r="E993" s="1"/>
      <c r="F993" s="1"/>
      <c r="G993" s="5"/>
      <c r="H993" s="1"/>
      <c r="I993" s="40"/>
      <c r="J993" s="8"/>
      <c r="K993" s="8"/>
      <c r="L993" s="8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5"/>
      <c r="C994" s="1"/>
      <c r="D994" s="46"/>
      <c r="E994" s="1"/>
      <c r="F994" s="1"/>
      <c r="G994" s="5"/>
      <c r="H994" s="1"/>
      <c r="I994" s="40"/>
      <c r="J994" s="8"/>
      <c r="K994" s="8"/>
      <c r="L994" s="8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5"/>
      <c r="C995" s="1"/>
      <c r="D995" s="46"/>
      <c r="E995" s="1"/>
      <c r="F995" s="1"/>
      <c r="G995" s="5"/>
      <c r="H995" s="1"/>
      <c r="I995" s="40"/>
      <c r="J995" s="8"/>
      <c r="K995" s="8"/>
      <c r="L995" s="8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5"/>
      <c r="C996" s="1"/>
      <c r="D996" s="46"/>
      <c r="E996" s="1"/>
      <c r="F996" s="1"/>
      <c r="G996" s="5"/>
      <c r="H996" s="1"/>
      <c r="I996" s="40"/>
      <c r="J996" s="8"/>
      <c r="K996" s="8"/>
      <c r="L996" s="8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5"/>
      <c r="C997" s="1"/>
      <c r="D997" s="46"/>
      <c r="E997" s="1"/>
      <c r="F997" s="1"/>
      <c r="G997" s="5"/>
      <c r="H997" s="1"/>
      <c r="I997" s="40"/>
      <c r="J997" s="8"/>
      <c r="K997" s="8"/>
      <c r="L997" s="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5"/>
      <c r="C998" s="1"/>
      <c r="D998" s="46"/>
      <c r="E998" s="1"/>
      <c r="F998" s="1"/>
      <c r="G998" s="5"/>
      <c r="H998" s="1"/>
      <c r="I998" s="40"/>
      <c r="J998" s="8"/>
      <c r="K998" s="8"/>
      <c r="L998" s="8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5"/>
      <c r="C999" s="1"/>
      <c r="D999" s="46"/>
      <c r="E999" s="1"/>
      <c r="F999" s="1"/>
      <c r="G999" s="5"/>
      <c r="H999" s="1"/>
      <c r="I999" s="40"/>
      <c r="J999" s="8"/>
      <c r="K999" s="8"/>
      <c r="L999" s="8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5"/>
      <c r="C1000" s="1"/>
      <c r="D1000" s="46"/>
      <c r="E1000" s="1"/>
      <c r="F1000" s="1"/>
      <c r="G1000" s="5"/>
      <c r="H1000" s="1"/>
      <c r="I1000" s="40"/>
      <c r="J1000" s="8"/>
      <c r="K1000" s="8"/>
      <c r="L1000" s="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2:L2"/>
    <mergeCell ref="H3:H4"/>
    <mergeCell ref="J3:K3"/>
  </mergeCells>
  <printOptions/>
  <pageMargins bottom="0.32013888888888886" footer="0.0" header="0.0" left="0.25" right="0.2701388888888889" top="0.229861111111111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14"/>
    <col customWidth="1" min="2" max="2" width="27.43"/>
    <col customWidth="1" min="3" max="7" width="13.43"/>
    <col customWidth="1" min="8" max="8" width="11.86"/>
    <col customWidth="1" min="9" max="14" width="13.43"/>
    <col customWidth="1" min="15" max="16" width="13.29"/>
    <col customWidth="1" min="17" max="17" width="3.43"/>
    <col customWidth="1" min="18" max="18" width="9.43"/>
    <col customWidth="1" min="19" max="27" width="8.86"/>
  </cols>
  <sheetData>
    <row r="1">
      <c r="A1" s="48"/>
      <c r="B1" s="49"/>
      <c r="C1" s="48"/>
      <c r="D1" s="48"/>
      <c r="E1" s="48"/>
      <c r="F1" s="48"/>
      <c r="G1" s="50"/>
      <c r="H1" s="50"/>
      <c r="I1" s="50"/>
      <c r="J1" s="51"/>
      <c r="K1" s="51"/>
      <c r="L1" s="51"/>
      <c r="M1" s="51"/>
      <c r="N1" s="51"/>
      <c r="O1" s="51"/>
      <c r="P1" s="51"/>
      <c r="Q1" s="51"/>
      <c r="R1" s="50"/>
      <c r="S1" s="52"/>
      <c r="T1" s="52"/>
      <c r="U1" s="52"/>
      <c r="V1" s="52"/>
      <c r="W1" s="52"/>
      <c r="X1" s="52"/>
      <c r="Y1" s="52"/>
      <c r="Z1" s="52"/>
      <c r="AA1" s="52"/>
    </row>
    <row r="2" ht="21.0" customHeight="1">
      <c r="A2" s="53"/>
      <c r="B2" s="54" t="s">
        <v>27</v>
      </c>
      <c r="C2" s="55"/>
      <c r="D2" s="56"/>
      <c r="E2" s="55"/>
      <c r="F2" s="56"/>
      <c r="G2" s="56"/>
      <c r="H2" s="56"/>
      <c r="I2" s="56"/>
      <c r="J2" s="56"/>
      <c r="K2" s="56"/>
      <c r="L2" s="56"/>
      <c r="M2" s="56"/>
      <c r="N2" s="57"/>
      <c r="O2" s="58" t="s">
        <v>28</v>
      </c>
      <c r="P2" s="59">
        <v>2026.0</v>
      </c>
      <c r="Q2" s="60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21.0" customHeight="1">
      <c r="A3" s="50"/>
      <c r="B3" s="49"/>
      <c r="C3" s="61"/>
      <c r="D3" s="61"/>
      <c r="E3" s="62"/>
      <c r="F3" s="61"/>
      <c r="G3" s="61"/>
      <c r="H3" s="61"/>
      <c r="I3" s="61"/>
      <c r="J3" s="61"/>
      <c r="K3" s="61"/>
      <c r="L3" s="61"/>
      <c r="M3" s="61"/>
      <c r="N3" s="51"/>
      <c r="O3" s="51"/>
      <c r="P3" s="51"/>
      <c r="Q3" s="61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ht="21.0" customHeight="1">
      <c r="A4" s="63"/>
      <c r="B4" s="64" t="s">
        <v>29</v>
      </c>
      <c r="C4" s="65">
        <v>46023.0</v>
      </c>
      <c r="D4" s="65">
        <v>46054.0</v>
      </c>
      <c r="E4" s="65">
        <v>46082.0</v>
      </c>
      <c r="F4" s="65">
        <v>46113.0</v>
      </c>
      <c r="G4" s="65">
        <v>46143.0</v>
      </c>
      <c r="H4" s="65">
        <v>46174.0</v>
      </c>
      <c r="I4" s="65">
        <v>46204.0</v>
      </c>
      <c r="J4" s="65">
        <v>46235.0</v>
      </c>
      <c r="K4" s="65">
        <v>46266.0</v>
      </c>
      <c r="L4" s="65">
        <v>46296.0</v>
      </c>
      <c r="M4" s="65">
        <v>46327.0</v>
      </c>
      <c r="N4" s="65">
        <v>46357.0</v>
      </c>
      <c r="O4" s="66" t="s">
        <v>30</v>
      </c>
      <c r="P4" s="67" t="s">
        <v>31</v>
      </c>
      <c r="Q4" s="68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 ht="4.5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ht="20.25" customHeight="1">
      <c r="A6" s="71"/>
      <c r="B6" s="72" t="s">
        <v>32</v>
      </c>
      <c r="C6" s="73">
        <f t="shared" ref="C6:N6" si="1">SUM(C7:C11)</f>
        <v>34767.64</v>
      </c>
      <c r="D6" s="73">
        <f t="shared" si="1"/>
        <v>4760.54</v>
      </c>
      <c r="E6" s="73">
        <f t="shared" si="1"/>
        <v>16430.54</v>
      </c>
      <c r="F6" s="73">
        <f t="shared" si="1"/>
        <v>39079.43</v>
      </c>
      <c r="G6" s="73">
        <f t="shared" si="1"/>
        <v>0</v>
      </c>
      <c r="H6" s="73">
        <f t="shared" si="1"/>
        <v>0</v>
      </c>
      <c r="I6" s="73">
        <f t="shared" si="1"/>
        <v>0</v>
      </c>
      <c r="J6" s="73">
        <f t="shared" si="1"/>
        <v>0</v>
      </c>
      <c r="K6" s="73">
        <f t="shared" si="1"/>
        <v>0</v>
      </c>
      <c r="L6" s="73">
        <f t="shared" si="1"/>
        <v>0</v>
      </c>
      <c r="M6" s="73">
        <f t="shared" si="1"/>
        <v>0</v>
      </c>
      <c r="N6" s="73">
        <f t="shared" si="1"/>
        <v>0</v>
      </c>
      <c r="O6" s="73">
        <f t="shared" ref="O6:O11" si="3">SUM(C6:N6)</f>
        <v>95038.15</v>
      </c>
      <c r="P6" s="73">
        <f t="shared" ref="P6:P9" si="4">AVERAGE(C6:O6)</f>
        <v>14621.25385</v>
      </c>
      <c r="Q6" s="74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>
      <c r="A7" s="76"/>
      <c r="B7" s="77" t="str">
        <f t="shared" ref="B7:N7" si="2">B13</f>
        <v>Entradas Roberto</v>
      </c>
      <c r="C7" s="78">
        <f t="shared" si="2"/>
        <v>30000</v>
      </c>
      <c r="D7" s="78">
        <f t="shared" si="2"/>
        <v>0</v>
      </c>
      <c r="E7" s="78">
        <f t="shared" si="2"/>
        <v>11120</v>
      </c>
      <c r="F7" s="78">
        <f t="shared" si="2"/>
        <v>25704</v>
      </c>
      <c r="G7" s="78">
        <f t="shared" si="2"/>
        <v>0</v>
      </c>
      <c r="H7" s="78">
        <f t="shared" si="2"/>
        <v>0</v>
      </c>
      <c r="I7" s="78">
        <f t="shared" si="2"/>
        <v>0</v>
      </c>
      <c r="J7" s="78">
        <f t="shared" si="2"/>
        <v>0</v>
      </c>
      <c r="K7" s="78">
        <f t="shared" si="2"/>
        <v>0</v>
      </c>
      <c r="L7" s="78">
        <f t="shared" si="2"/>
        <v>0</v>
      </c>
      <c r="M7" s="78">
        <f t="shared" si="2"/>
        <v>0</v>
      </c>
      <c r="N7" s="78">
        <f t="shared" si="2"/>
        <v>0</v>
      </c>
      <c r="O7" s="79">
        <f t="shared" si="3"/>
        <v>66824</v>
      </c>
      <c r="P7" s="80">
        <f t="shared" si="4"/>
        <v>10280.61538</v>
      </c>
      <c r="Q7" s="81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>
      <c r="A8" s="76"/>
      <c r="B8" s="77" t="str">
        <f t="shared" ref="B8:N8" si="5">B20</f>
        <v>Entradas Mariana</v>
      </c>
      <c r="C8" s="78">
        <f t="shared" si="5"/>
        <v>1250</v>
      </c>
      <c r="D8" s="78">
        <f t="shared" si="5"/>
        <v>1250</v>
      </c>
      <c r="E8" s="78">
        <f t="shared" si="5"/>
        <v>1800</v>
      </c>
      <c r="F8" s="78">
        <f t="shared" si="5"/>
        <v>1250</v>
      </c>
      <c r="G8" s="78">
        <f t="shared" si="5"/>
        <v>0</v>
      </c>
      <c r="H8" s="78">
        <f t="shared" si="5"/>
        <v>0</v>
      </c>
      <c r="I8" s="78">
        <f t="shared" si="5"/>
        <v>0</v>
      </c>
      <c r="J8" s="78">
        <f t="shared" si="5"/>
        <v>0</v>
      </c>
      <c r="K8" s="78">
        <f t="shared" si="5"/>
        <v>0</v>
      </c>
      <c r="L8" s="78">
        <f t="shared" si="5"/>
        <v>0</v>
      </c>
      <c r="M8" s="78">
        <f t="shared" si="5"/>
        <v>0</v>
      </c>
      <c r="N8" s="78">
        <f t="shared" si="5"/>
        <v>0</v>
      </c>
      <c r="O8" s="79">
        <f t="shared" si="3"/>
        <v>5550</v>
      </c>
      <c r="P8" s="80">
        <f t="shared" si="4"/>
        <v>853.8461538</v>
      </c>
      <c r="Q8" s="81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>
      <c r="A9" s="76"/>
      <c r="B9" s="77" t="str">
        <f t="shared" ref="B9:C9" si="6">B27</f>
        <v>Entradas Manuela</v>
      </c>
      <c r="C9" s="78">
        <f t="shared" si="6"/>
        <v>3517.64</v>
      </c>
      <c r="D9" s="78">
        <f>D28</f>
        <v>3510.54</v>
      </c>
      <c r="E9" s="78">
        <f t="shared" ref="E9:N9" si="7">E27</f>
        <v>3510.54</v>
      </c>
      <c r="F9" s="78">
        <f t="shared" si="7"/>
        <v>12125.43</v>
      </c>
      <c r="G9" s="78">
        <f t="shared" si="7"/>
        <v>0</v>
      </c>
      <c r="H9" s="78">
        <f t="shared" si="7"/>
        <v>0</v>
      </c>
      <c r="I9" s="78">
        <f t="shared" si="7"/>
        <v>0</v>
      </c>
      <c r="J9" s="78">
        <f t="shared" si="7"/>
        <v>0</v>
      </c>
      <c r="K9" s="78">
        <f t="shared" si="7"/>
        <v>0</v>
      </c>
      <c r="L9" s="78">
        <f t="shared" si="7"/>
        <v>0</v>
      </c>
      <c r="M9" s="78">
        <f t="shared" si="7"/>
        <v>0</v>
      </c>
      <c r="N9" s="78">
        <f t="shared" si="7"/>
        <v>0</v>
      </c>
      <c r="O9" s="79">
        <f t="shared" si="3"/>
        <v>22664.15</v>
      </c>
      <c r="P9" s="80">
        <f t="shared" si="4"/>
        <v>3486.792308</v>
      </c>
      <c r="Q9" s="81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76"/>
      <c r="B10" s="77" t="s">
        <v>33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>
        <f t="shared" si="3"/>
        <v>0</v>
      </c>
      <c r="P10" s="80">
        <f t="shared" ref="P10:P11" si="8">AVERAGE(D10:O10)</f>
        <v>0</v>
      </c>
      <c r="Q10" s="81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>
      <c r="A11" s="76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9">
        <f t="shared" si="3"/>
        <v>0</v>
      </c>
      <c r="P11" s="80">
        <f t="shared" si="8"/>
        <v>0</v>
      </c>
      <c r="Q11" s="81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ht="15.0" customHeight="1">
      <c r="A13" s="71"/>
      <c r="B13" s="83" t="s">
        <v>34</v>
      </c>
      <c r="C13" s="84">
        <f t="shared" ref="C13:O13" si="9">SUM(C14:C18)</f>
        <v>30000</v>
      </c>
      <c r="D13" s="84">
        <f t="shared" si="9"/>
        <v>0</v>
      </c>
      <c r="E13" s="84">
        <f t="shared" si="9"/>
        <v>11120</v>
      </c>
      <c r="F13" s="84">
        <f t="shared" si="9"/>
        <v>25704</v>
      </c>
      <c r="G13" s="84">
        <f t="shared" si="9"/>
        <v>0</v>
      </c>
      <c r="H13" s="84">
        <f t="shared" si="9"/>
        <v>0</v>
      </c>
      <c r="I13" s="84">
        <f t="shared" si="9"/>
        <v>0</v>
      </c>
      <c r="J13" s="84">
        <f t="shared" si="9"/>
        <v>0</v>
      </c>
      <c r="K13" s="84">
        <f t="shared" si="9"/>
        <v>0</v>
      </c>
      <c r="L13" s="84">
        <f t="shared" si="9"/>
        <v>0</v>
      </c>
      <c r="M13" s="84">
        <f t="shared" si="9"/>
        <v>0</v>
      </c>
      <c r="N13" s="84">
        <f t="shared" si="9"/>
        <v>0</v>
      </c>
      <c r="O13" s="84">
        <f t="shared" si="9"/>
        <v>61824</v>
      </c>
      <c r="P13" s="84">
        <f>AVERAGE(P14:P18)</f>
        <v>10243.2</v>
      </c>
      <c r="Q13" s="81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>
      <c r="A14" s="76"/>
      <c r="B14" s="85" t="s">
        <v>35</v>
      </c>
      <c r="C14" s="86">
        <v>30000.0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7">
        <f t="shared" ref="O14:O15" si="10">SUM(C14:N14)</f>
        <v>30000</v>
      </c>
      <c r="P14" s="88">
        <f t="shared" ref="P14:P15" si="11">AVERAGE(C14:O14)</f>
        <v>30000</v>
      </c>
      <c r="Q14" s="81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>
      <c r="A15" s="76"/>
      <c r="B15" s="85" t="s">
        <v>36</v>
      </c>
      <c r="C15" s="86"/>
      <c r="D15" s="86"/>
      <c r="E15" s="86">
        <v>6120.0</v>
      </c>
      <c r="F15" s="86">
        <v>25704.0</v>
      </c>
      <c r="G15" s="86"/>
      <c r="H15" s="86"/>
      <c r="I15" s="86"/>
      <c r="J15" s="86"/>
      <c r="K15" s="86"/>
      <c r="L15" s="86"/>
      <c r="M15" s="86"/>
      <c r="N15" s="86"/>
      <c r="O15" s="87">
        <f t="shared" si="10"/>
        <v>31824</v>
      </c>
      <c r="P15" s="88">
        <f t="shared" si="11"/>
        <v>21216</v>
      </c>
      <c r="Q15" s="81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76"/>
      <c r="B16" s="85" t="s">
        <v>37</v>
      </c>
      <c r="C16" s="86"/>
      <c r="D16" s="86"/>
      <c r="E16" s="86">
        <v>5000.0</v>
      </c>
      <c r="F16" s="86"/>
      <c r="G16" s="86"/>
      <c r="H16" s="86"/>
      <c r="I16" s="86"/>
      <c r="J16" s="86"/>
      <c r="K16" s="86"/>
      <c r="L16" s="86"/>
      <c r="M16" s="86"/>
      <c r="N16" s="86"/>
      <c r="O16" s="87">
        <f>SUM(F16:N16)</f>
        <v>0</v>
      </c>
      <c r="P16" s="88">
        <f>AVERAGE(F16:O16)</f>
        <v>0</v>
      </c>
      <c r="Q16" s="81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76"/>
      <c r="B17" s="85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7">
        <f t="shared" ref="O17:O18" si="12">SUM(C17:N17)</f>
        <v>0</v>
      </c>
      <c r="P17" s="88">
        <f t="shared" ref="P17:P18" si="13">AVERAGE(D17:O17)</f>
        <v>0</v>
      </c>
      <c r="Q17" s="81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76"/>
      <c r="B18" s="89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>
        <f t="shared" si="12"/>
        <v>0</v>
      </c>
      <c r="P18" s="88">
        <f t="shared" si="13"/>
        <v>0</v>
      </c>
      <c r="Q18" s="81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ht="15.75" customHeigh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75"/>
      <c r="P19" s="75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 ht="15.75" customHeight="1">
      <c r="A20" s="90"/>
      <c r="B20" s="83" t="s">
        <v>38</v>
      </c>
      <c r="C20" s="84">
        <f t="shared" ref="C20:D20" si="14">SUM(C21:C23)</f>
        <v>1250</v>
      </c>
      <c r="D20" s="84">
        <f t="shared" si="14"/>
        <v>1250</v>
      </c>
      <c r="E20" s="84">
        <f>SUM(E21:E25)</f>
        <v>1800</v>
      </c>
      <c r="F20" s="84">
        <f t="shared" ref="F20:O20" si="15">SUM(F21:F23)</f>
        <v>1250</v>
      </c>
      <c r="G20" s="84">
        <f t="shared" si="15"/>
        <v>0</v>
      </c>
      <c r="H20" s="84">
        <f t="shared" si="15"/>
        <v>0</v>
      </c>
      <c r="I20" s="84">
        <f t="shared" si="15"/>
        <v>0</v>
      </c>
      <c r="J20" s="84">
        <f t="shared" si="15"/>
        <v>0</v>
      </c>
      <c r="K20" s="84">
        <f t="shared" si="15"/>
        <v>0</v>
      </c>
      <c r="L20" s="84">
        <f t="shared" si="15"/>
        <v>0</v>
      </c>
      <c r="M20" s="84">
        <f t="shared" si="15"/>
        <v>0</v>
      </c>
      <c r="N20" s="84">
        <f t="shared" si="15"/>
        <v>0</v>
      </c>
      <c r="O20" s="84">
        <f t="shared" si="15"/>
        <v>5000</v>
      </c>
      <c r="P20" s="84">
        <f>AVERAGE(P21:P28)</f>
        <v>1490.403155</v>
      </c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</row>
    <row r="21" ht="15.75" customHeight="1">
      <c r="A21" s="90"/>
      <c r="B21" s="85" t="s">
        <v>39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7">
        <f t="shared" ref="O21:O25" si="16">SUM(C21:N21)</f>
        <v>0</v>
      </c>
      <c r="P21" s="88">
        <f t="shared" ref="P21:P22" si="17">AVERAGE(D21:O21)</f>
        <v>0</v>
      </c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</row>
    <row r="22" ht="15.75" customHeight="1">
      <c r="A22" s="90"/>
      <c r="B22" s="85" t="s">
        <v>40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7">
        <f t="shared" si="16"/>
        <v>0</v>
      </c>
      <c r="P22" s="88">
        <f t="shared" si="17"/>
        <v>0</v>
      </c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 ht="15.75" customHeight="1">
      <c r="A23" s="90"/>
      <c r="B23" s="85" t="s">
        <v>41</v>
      </c>
      <c r="C23" s="86">
        <v>1250.0</v>
      </c>
      <c r="D23" s="86">
        <v>1250.0</v>
      </c>
      <c r="E23" s="86">
        <v>1250.0</v>
      </c>
      <c r="F23" s="86">
        <v>1250.0</v>
      </c>
      <c r="G23" s="86"/>
      <c r="H23" s="86"/>
      <c r="I23" s="86"/>
      <c r="J23" s="86"/>
      <c r="K23" s="86"/>
      <c r="L23" s="86"/>
      <c r="M23" s="86"/>
      <c r="N23" s="86"/>
      <c r="O23" s="87">
        <f t="shared" si="16"/>
        <v>5000</v>
      </c>
      <c r="P23" s="88">
        <f>AVERAGE(C23:O23)</f>
        <v>2000</v>
      </c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 ht="15.75" customHeight="1">
      <c r="A24" s="90"/>
      <c r="B24" s="85" t="s">
        <v>42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7">
        <f t="shared" si="16"/>
        <v>0</v>
      </c>
      <c r="P24" s="88">
        <f>AVERAGE(D24:O24)</f>
        <v>0</v>
      </c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</row>
    <row r="25" ht="15.75" customHeight="1">
      <c r="A25" s="90"/>
      <c r="B25" s="85" t="s">
        <v>37</v>
      </c>
      <c r="C25" s="86"/>
      <c r="D25" s="86"/>
      <c r="E25" s="86">
        <v>550.0</v>
      </c>
      <c r="F25" s="86"/>
      <c r="G25" s="86"/>
      <c r="H25" s="86"/>
      <c r="I25" s="86"/>
      <c r="J25" s="86"/>
      <c r="K25" s="86"/>
      <c r="L25" s="86"/>
      <c r="M25" s="86"/>
      <c r="N25" s="86"/>
      <c r="O25" s="87">
        <f t="shared" si="16"/>
        <v>550</v>
      </c>
      <c r="P25" s="88">
        <f>AVERAGE(C25:O25)</f>
        <v>550</v>
      </c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 ht="15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75"/>
      <c r="P26" s="75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</row>
    <row r="27" ht="15.75" customHeight="1">
      <c r="A27" s="90"/>
      <c r="B27" s="83" t="s">
        <v>43</v>
      </c>
      <c r="C27" s="84">
        <f t="shared" ref="C27:O27" si="18">SUM(C28:C30)</f>
        <v>3517.64</v>
      </c>
      <c r="D27" s="84">
        <f t="shared" si="18"/>
        <v>3510.54</v>
      </c>
      <c r="E27" s="84">
        <f t="shared" si="18"/>
        <v>3510.54</v>
      </c>
      <c r="F27" s="84">
        <f t="shared" si="18"/>
        <v>12125.43</v>
      </c>
      <c r="G27" s="84">
        <f t="shared" si="18"/>
        <v>0</v>
      </c>
      <c r="H27" s="84">
        <f t="shared" si="18"/>
        <v>0</v>
      </c>
      <c r="I27" s="84">
        <f t="shared" si="18"/>
        <v>0</v>
      </c>
      <c r="J27" s="84">
        <f t="shared" si="18"/>
        <v>0</v>
      </c>
      <c r="K27" s="84">
        <f t="shared" si="18"/>
        <v>0</v>
      </c>
      <c r="L27" s="84">
        <f t="shared" si="18"/>
        <v>0</v>
      </c>
      <c r="M27" s="84">
        <f t="shared" si="18"/>
        <v>0</v>
      </c>
      <c r="N27" s="84">
        <f t="shared" si="18"/>
        <v>0</v>
      </c>
      <c r="O27" s="84">
        <f t="shared" si="18"/>
        <v>22664.15</v>
      </c>
      <c r="P27" s="84">
        <f>AVERAGE(C28:P32)</f>
        <v>2613.462083</v>
      </c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</row>
    <row r="28" ht="15.75" customHeight="1">
      <c r="A28" s="90"/>
      <c r="B28" s="85" t="s">
        <v>44</v>
      </c>
      <c r="C28" s="86">
        <v>3517.64</v>
      </c>
      <c r="D28" s="86">
        <v>3510.54</v>
      </c>
      <c r="E28" s="86">
        <v>3510.54</v>
      </c>
      <c r="F28" s="86"/>
      <c r="G28" s="86"/>
      <c r="H28" s="86"/>
      <c r="I28" s="86"/>
      <c r="J28" s="86"/>
      <c r="K28" s="86"/>
      <c r="L28" s="86"/>
      <c r="M28" s="86"/>
      <c r="N28" s="86"/>
      <c r="O28" s="87">
        <f t="shared" ref="O28:O30" si="19">SUM(C28:N28)</f>
        <v>10538.72</v>
      </c>
      <c r="P28" s="88">
        <f>AVERAGE(C28:O28)</f>
        <v>5269.36</v>
      </c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</row>
    <row r="29" ht="15.75" customHeight="1">
      <c r="A29" s="90"/>
      <c r="B29" s="85" t="s">
        <v>45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7">
        <f t="shared" si="19"/>
        <v>0</v>
      </c>
      <c r="P29" s="88">
        <f t="shared" ref="P29:P30" si="20">AVERAGE(D29:O29)</f>
        <v>0</v>
      </c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</row>
    <row r="30" ht="15.75" customHeight="1">
      <c r="A30" s="90"/>
      <c r="B30" s="85" t="s">
        <v>46</v>
      </c>
      <c r="C30" s="86"/>
      <c r="D30" s="86"/>
      <c r="E30" s="86"/>
      <c r="F30" s="86">
        <v>12125.43</v>
      </c>
      <c r="G30" s="86"/>
      <c r="H30" s="86"/>
      <c r="I30" s="86"/>
      <c r="J30" s="86"/>
      <c r="K30" s="86"/>
      <c r="L30" s="86"/>
      <c r="M30" s="86"/>
      <c r="N30" s="86"/>
      <c r="O30" s="87">
        <f t="shared" si="19"/>
        <v>12125.43</v>
      </c>
      <c r="P30" s="88">
        <f t="shared" si="20"/>
        <v>12125.43</v>
      </c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</row>
    <row r="31" ht="15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75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</row>
    <row r="32" ht="15.75" customHeight="1">
      <c r="A32" s="90"/>
      <c r="B32" s="83" t="s">
        <v>47</v>
      </c>
      <c r="C32" s="84">
        <f t="shared" ref="C32:O32" si="21">SUM(C33:C34)</f>
        <v>0</v>
      </c>
      <c r="D32" s="84">
        <f t="shared" si="21"/>
        <v>0</v>
      </c>
      <c r="E32" s="84">
        <f t="shared" si="21"/>
        <v>0</v>
      </c>
      <c r="F32" s="84">
        <f t="shared" si="21"/>
        <v>0</v>
      </c>
      <c r="G32" s="84">
        <f t="shared" si="21"/>
        <v>0</v>
      </c>
      <c r="H32" s="84">
        <f t="shared" si="21"/>
        <v>0</v>
      </c>
      <c r="I32" s="84">
        <f t="shared" si="21"/>
        <v>0</v>
      </c>
      <c r="J32" s="84">
        <f t="shared" si="21"/>
        <v>0</v>
      </c>
      <c r="K32" s="84">
        <f t="shared" si="21"/>
        <v>0</v>
      </c>
      <c r="L32" s="84">
        <f t="shared" si="21"/>
        <v>0</v>
      </c>
      <c r="M32" s="84">
        <f t="shared" si="21"/>
        <v>0</v>
      </c>
      <c r="N32" s="84">
        <f t="shared" si="21"/>
        <v>0</v>
      </c>
      <c r="O32" s="84">
        <f t="shared" si="21"/>
        <v>0</v>
      </c>
      <c r="P32" s="84">
        <f>AVERAGE(P33:P39)</f>
        <v>0</v>
      </c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</row>
    <row r="33" ht="15.75" customHeight="1">
      <c r="A33" s="90"/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7"/>
      <c r="P33" s="88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</row>
    <row r="34" ht="15.75" customHeight="1">
      <c r="A34" s="90"/>
      <c r="B34" s="85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7">
        <f t="shared" ref="O34:O36" si="22">SUM(C34:N34)</f>
        <v>0</v>
      </c>
      <c r="P34" s="88">
        <f t="shared" ref="P34:P36" si="23">AVERAGE(D34:O34)</f>
        <v>0</v>
      </c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</row>
    <row r="35" ht="15.75" customHeight="1">
      <c r="A35" s="90"/>
      <c r="B35" s="8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7">
        <f t="shared" si="22"/>
        <v>0</v>
      </c>
      <c r="P35" s="88">
        <f t="shared" si="23"/>
        <v>0</v>
      </c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</row>
    <row r="36" ht="15.75" customHeight="1">
      <c r="A36" s="90"/>
      <c r="B36" s="85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7">
        <f t="shared" si="22"/>
        <v>0</v>
      </c>
      <c r="P36" s="88">
        <f t="shared" si="23"/>
        <v>0</v>
      </c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75"/>
      <c r="P37" s="75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75"/>
      <c r="P38" s="75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75"/>
      <c r="P39" s="75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75"/>
      <c r="P40" s="75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75"/>
      <c r="P41" s="75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75"/>
      <c r="P42" s="75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75"/>
      <c r="P43" s="75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75"/>
      <c r="P44" s="75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75"/>
      <c r="P45" s="75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75"/>
      <c r="P46" s="75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75"/>
      <c r="P47" s="75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75"/>
      <c r="P48" s="75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75"/>
      <c r="P49" s="75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75"/>
      <c r="P50" s="75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75"/>
      <c r="P51" s="75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75"/>
      <c r="P52" s="75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75"/>
      <c r="P53" s="75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75"/>
      <c r="P54" s="75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75"/>
      <c r="P55" s="75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75"/>
      <c r="P56" s="75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75"/>
      <c r="P57" s="75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75"/>
      <c r="P58" s="75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75"/>
      <c r="P59" s="75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75"/>
      <c r="P60" s="75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75"/>
      <c r="P61" s="75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75"/>
      <c r="P62" s="75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75"/>
      <c r="P63" s="75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75"/>
      <c r="P64" s="75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75"/>
      <c r="P65" s="75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75"/>
      <c r="P66" s="75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75"/>
      <c r="P67" s="75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75"/>
      <c r="P68" s="75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75"/>
      <c r="P69" s="75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75"/>
      <c r="P70" s="75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75"/>
      <c r="P71" s="75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75"/>
      <c r="P72" s="75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75"/>
      <c r="P73" s="75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75"/>
      <c r="P74" s="75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75"/>
      <c r="P75" s="75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75"/>
      <c r="P76" s="75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75"/>
      <c r="P77" s="75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75"/>
      <c r="P78" s="75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75"/>
      <c r="P79" s="75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75"/>
      <c r="P80" s="75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75"/>
      <c r="P81" s="75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75"/>
      <c r="P82" s="75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75"/>
      <c r="P83" s="75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75"/>
      <c r="P84" s="75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75"/>
      <c r="P85" s="75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75"/>
      <c r="P86" s="75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75"/>
      <c r="P87" s="75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75"/>
      <c r="P88" s="75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75"/>
      <c r="P89" s="75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75"/>
      <c r="P90" s="75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</row>
    <row r="91" ht="15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75"/>
      <c r="P91" s="75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75"/>
      <c r="P92" s="75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</row>
    <row r="93" ht="15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75"/>
      <c r="P93" s="75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75"/>
      <c r="P94" s="75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</row>
    <row r="95" ht="15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75"/>
      <c r="P95" s="75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</row>
    <row r="96" ht="15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75"/>
      <c r="P96" s="75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</row>
    <row r="97" ht="15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75"/>
      <c r="P97" s="75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</row>
    <row r="98" ht="15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75"/>
      <c r="P98" s="75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</row>
    <row r="99" ht="15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75"/>
      <c r="P99" s="75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</row>
    <row r="100" ht="15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75"/>
      <c r="P100" s="75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</row>
    <row r="101" ht="15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75"/>
      <c r="P101" s="75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</row>
    <row r="102" ht="15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75"/>
      <c r="P102" s="75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</row>
    <row r="103" ht="15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75"/>
      <c r="P103" s="75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 ht="15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75"/>
      <c r="P104" s="75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</row>
    <row r="105" ht="15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75"/>
      <c r="P105" s="75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</row>
    <row r="106" ht="15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75"/>
      <c r="P106" s="75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</row>
    <row r="107" ht="15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75"/>
      <c r="P107" s="75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</row>
    <row r="108" ht="15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75"/>
      <c r="P108" s="75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</row>
    <row r="109" ht="15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75"/>
      <c r="P109" s="75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 ht="15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75"/>
      <c r="P110" s="75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</row>
    <row r="111" ht="15.7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75"/>
      <c r="P111" s="75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</row>
    <row r="112" ht="15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75"/>
      <c r="P112" s="75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</row>
    <row r="113" ht="15.7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75"/>
      <c r="P113" s="75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</row>
    <row r="114" ht="15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75"/>
      <c r="P114" s="75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</row>
    <row r="115" ht="15.7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75"/>
      <c r="P115" s="75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</row>
    <row r="116" ht="15.7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75"/>
      <c r="P116" s="75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</row>
    <row r="117" ht="15.7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75"/>
      <c r="P117" s="75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</row>
    <row r="118" ht="15.7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75"/>
      <c r="P118" s="75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</row>
    <row r="119" ht="15.7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75"/>
      <c r="P119" s="75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</row>
    <row r="120" ht="15.7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75"/>
      <c r="P120" s="75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</row>
    <row r="121" ht="15.7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75"/>
      <c r="P121" s="75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</row>
    <row r="122" ht="15.7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75"/>
      <c r="P122" s="75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</row>
    <row r="123" ht="15.7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75"/>
      <c r="P123" s="75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</row>
    <row r="124" ht="15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75"/>
      <c r="P124" s="75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</row>
    <row r="125" ht="15.7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75"/>
      <c r="P125" s="75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</row>
    <row r="126" ht="15.7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75"/>
      <c r="P126" s="75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</row>
    <row r="127" ht="15.7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75"/>
      <c r="P127" s="75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</row>
    <row r="128" ht="15.7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75"/>
      <c r="P128" s="75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</row>
    <row r="129" ht="15.7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75"/>
      <c r="P129" s="75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</row>
    <row r="130" ht="15.7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75"/>
      <c r="P130" s="75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</row>
    <row r="131" ht="15.7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75"/>
      <c r="P131" s="75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</row>
    <row r="132" ht="15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75"/>
      <c r="P132" s="75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</row>
    <row r="133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75"/>
      <c r="P133" s="75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 ht="15.7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75"/>
      <c r="P134" s="75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</row>
    <row r="135" ht="15.7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75"/>
      <c r="P135" s="75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</row>
    <row r="136" ht="15.7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75"/>
      <c r="P136" s="75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</row>
    <row r="137" ht="15.7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75"/>
      <c r="P137" s="75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</row>
    <row r="138" ht="15.7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75"/>
      <c r="P138" s="75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</row>
    <row r="139" ht="15.7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75"/>
      <c r="P139" s="75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</row>
    <row r="140" ht="15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75"/>
      <c r="P140" s="75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</row>
    <row r="141" ht="15.7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75"/>
      <c r="P141" s="75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</row>
    <row r="142" ht="15.7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75"/>
      <c r="P142" s="75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</row>
    <row r="143" ht="15.7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75"/>
      <c r="P143" s="75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</row>
    <row r="144" ht="15.7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75"/>
      <c r="P144" s="75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</row>
    <row r="145" ht="15.7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75"/>
      <c r="P145" s="75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</row>
    <row r="146" ht="15.7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75"/>
      <c r="P146" s="75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</row>
    <row r="147" ht="15.7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75"/>
      <c r="P147" s="75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</row>
    <row r="148" ht="15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75"/>
      <c r="P148" s="75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</row>
    <row r="149" ht="15.7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75"/>
      <c r="P149" s="75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</row>
    <row r="150" ht="15.7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75"/>
      <c r="P150" s="75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</row>
    <row r="151" ht="15.7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75"/>
      <c r="P151" s="75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</row>
    <row r="152" ht="15.7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75"/>
      <c r="P152" s="75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</row>
    <row r="153" ht="15.7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75"/>
      <c r="P153" s="75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</row>
    <row r="154" ht="15.7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75"/>
      <c r="P154" s="75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</row>
    <row r="155" ht="15.7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75"/>
      <c r="P155" s="75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</row>
    <row r="156" ht="15.7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75"/>
      <c r="P156" s="75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</row>
    <row r="157" ht="15.7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75"/>
      <c r="P157" s="75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</row>
    <row r="158" ht="15.7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75"/>
      <c r="P158" s="75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</row>
    <row r="159" ht="15.7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75"/>
      <c r="P159" s="75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</row>
    <row r="160" ht="15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75"/>
      <c r="P160" s="75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</row>
    <row r="161" ht="15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75"/>
      <c r="P161" s="75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</row>
    <row r="162" ht="15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75"/>
      <c r="P162" s="75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</row>
    <row r="163" ht="15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75"/>
      <c r="P163" s="75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</row>
    <row r="164" ht="15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75"/>
      <c r="P164" s="75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</row>
    <row r="165" ht="15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75"/>
      <c r="P165" s="75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</row>
    <row r="166" ht="15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75"/>
      <c r="P166" s="75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</row>
    <row r="167" ht="15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75"/>
      <c r="P167" s="75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</row>
    <row r="168" ht="15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75"/>
      <c r="P168" s="75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</row>
    <row r="169" ht="15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75"/>
      <c r="P169" s="75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</row>
    <row r="170" ht="15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75"/>
      <c r="P170" s="75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</row>
    <row r="171" ht="15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75"/>
      <c r="P171" s="75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</row>
    <row r="172" ht="15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75"/>
      <c r="P172" s="75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</row>
    <row r="173" ht="15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75"/>
      <c r="P173" s="75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</row>
    <row r="174" ht="15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75"/>
      <c r="P174" s="75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</row>
    <row r="175" ht="15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75"/>
      <c r="P175" s="75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</row>
    <row r="176" ht="15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75"/>
      <c r="P176" s="75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</row>
    <row r="177" ht="15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75"/>
      <c r="P177" s="75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</row>
    <row r="178" ht="15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75"/>
      <c r="P178" s="75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</row>
    <row r="179" ht="15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75"/>
      <c r="P179" s="75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</row>
    <row r="180" ht="15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75"/>
      <c r="P180" s="75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</row>
    <row r="181" ht="15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75"/>
      <c r="P181" s="75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</row>
    <row r="182" ht="15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75"/>
      <c r="P182" s="75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</row>
    <row r="183" ht="15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75"/>
      <c r="P183" s="75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</row>
    <row r="184" ht="15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75"/>
      <c r="P184" s="75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</row>
    <row r="185" ht="15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75"/>
      <c r="P185" s="75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</row>
    <row r="186" ht="15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75"/>
      <c r="P186" s="75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</row>
    <row r="187" ht="15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75"/>
      <c r="P187" s="75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</row>
    <row r="188" ht="15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75"/>
      <c r="P188" s="75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</row>
    <row r="189" ht="15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75"/>
      <c r="P189" s="75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</row>
    <row r="190" ht="15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75"/>
      <c r="P190" s="75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</row>
    <row r="191" ht="15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75"/>
      <c r="P191" s="75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</row>
    <row r="192" ht="15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75"/>
      <c r="P192" s="75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</row>
    <row r="193" ht="15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75"/>
      <c r="P193" s="75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</row>
    <row r="194" ht="15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75"/>
      <c r="P194" s="75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</row>
    <row r="195" ht="15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75"/>
      <c r="P195" s="75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</row>
    <row r="196" ht="15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75"/>
      <c r="P196" s="75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</row>
    <row r="197" ht="15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75"/>
      <c r="P197" s="75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</row>
    <row r="198" ht="15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75"/>
      <c r="P198" s="75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</row>
    <row r="199" ht="15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75"/>
      <c r="P199" s="75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</row>
    <row r="200" ht="15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75"/>
      <c r="P200" s="75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</row>
    <row r="201" ht="15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75"/>
      <c r="P201" s="75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</row>
    <row r="202" ht="15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75"/>
      <c r="P202" s="75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</row>
    <row r="203" ht="15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75"/>
      <c r="P203" s="75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</row>
    <row r="204" ht="15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75"/>
      <c r="P204" s="75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</row>
    <row r="205" ht="15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75"/>
      <c r="P205" s="75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</row>
    <row r="206" ht="15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75"/>
      <c r="P206" s="75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</row>
    <row r="207" ht="15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75"/>
      <c r="P207" s="75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</row>
    <row r="208" ht="15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75"/>
      <c r="P208" s="75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</row>
    <row r="209" ht="15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75"/>
      <c r="P209" s="75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</row>
    <row r="210" ht="15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75"/>
      <c r="P210" s="75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</row>
    <row r="211" ht="15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75"/>
      <c r="P211" s="75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</row>
    <row r="212" ht="15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75"/>
      <c r="P212" s="75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</row>
    <row r="213" ht="15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75"/>
      <c r="P213" s="75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</row>
    <row r="214" ht="15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75"/>
      <c r="P214" s="75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</row>
    <row r="215" ht="15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75"/>
      <c r="P215" s="75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</row>
    <row r="216" ht="15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75"/>
      <c r="P216" s="75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</row>
    <row r="217" ht="15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75"/>
      <c r="P217" s="75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</row>
    <row r="218" ht="15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75"/>
      <c r="P218" s="75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</row>
    <row r="219" ht="15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75"/>
      <c r="P219" s="75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75"/>
      <c r="P220" s="75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</row>
    <row r="221" ht="15.7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75"/>
      <c r="P221" s="75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</row>
    <row r="222" ht="15.7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75"/>
      <c r="P222" s="75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</row>
    <row r="223" ht="15.7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75"/>
      <c r="P223" s="75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</row>
    <row r="224" ht="15.7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75"/>
      <c r="P224" s="75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</row>
    <row r="225" ht="15.7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75"/>
      <c r="P225" s="75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</row>
    <row r="226" ht="15.7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75"/>
      <c r="P226" s="75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</row>
    <row r="227" ht="15.7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75"/>
      <c r="P227" s="75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</row>
    <row r="228" ht="15.7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75"/>
      <c r="P228" s="75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</row>
    <row r="229" ht="15.7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75"/>
      <c r="P229" s="75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</row>
    <row r="230" ht="15.7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75"/>
      <c r="P230" s="75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</row>
    <row r="231" ht="15.7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75"/>
      <c r="P231" s="75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</row>
    <row r="232" ht="15.7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75"/>
      <c r="P232" s="75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</row>
    <row r="233" ht="15.7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75"/>
      <c r="P233" s="75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</row>
    <row r="234" ht="15.7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75"/>
      <c r="P234" s="75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</row>
    <row r="235" ht="15.7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75"/>
      <c r="P235" s="75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</row>
    <row r="236" ht="15.7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75"/>
      <c r="P236" s="75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</row>
    <row r="237" ht="15.7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75"/>
      <c r="P237" s="75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</row>
    <row r="238" ht="15.7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75"/>
      <c r="P238" s="75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</row>
    <row r="239" ht="15.7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75"/>
      <c r="P239" s="75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</row>
    <row r="240" ht="15.7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75"/>
      <c r="P240" s="75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</row>
    <row r="241" ht="15.7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75"/>
      <c r="P241" s="75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</row>
    <row r="242" ht="15.7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75"/>
      <c r="P242" s="75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</row>
    <row r="243" ht="15.7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75"/>
      <c r="P243" s="75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</row>
    <row r="244" ht="15.7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75"/>
      <c r="P244" s="75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</row>
    <row r="245" ht="15.7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75"/>
      <c r="P245" s="75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</row>
    <row r="246" ht="15.7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75"/>
      <c r="P246" s="75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</row>
    <row r="247" ht="15.7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75"/>
      <c r="P247" s="75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</row>
    <row r="248" ht="15.7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75"/>
      <c r="P248" s="75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</row>
    <row r="249" ht="15.7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75"/>
      <c r="P249" s="75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</row>
    <row r="250" ht="15.7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75"/>
      <c r="P250" s="75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</row>
    <row r="251" ht="15.7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75"/>
      <c r="P251" s="75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</row>
    <row r="252" ht="15.7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75"/>
      <c r="P252" s="75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</row>
    <row r="253" ht="15.7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75"/>
      <c r="P253" s="75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</row>
    <row r="254" ht="15.7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75"/>
      <c r="P254" s="75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</row>
    <row r="255" ht="15.7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75"/>
      <c r="P255" s="75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</row>
    <row r="256" ht="15.7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75"/>
      <c r="P256" s="75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</row>
    <row r="257" ht="15.7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75"/>
      <c r="P257" s="75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</row>
    <row r="258" ht="15.7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75"/>
      <c r="P258" s="75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</row>
    <row r="259" ht="15.7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75"/>
      <c r="P259" s="75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</row>
    <row r="260" ht="15.7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75"/>
      <c r="P260" s="75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</row>
    <row r="261" ht="15.7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75"/>
      <c r="P261" s="75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</row>
    <row r="262" ht="15.7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75"/>
      <c r="P262" s="75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</row>
    <row r="263" ht="15.7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75"/>
      <c r="P263" s="75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</row>
    <row r="264" ht="15.7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75"/>
      <c r="P264" s="75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</row>
    <row r="265" ht="15.7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75"/>
      <c r="P265" s="75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</row>
    <row r="266" ht="15.7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75"/>
      <c r="P266" s="75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</row>
    <row r="267" ht="15.7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75"/>
      <c r="P267" s="75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</row>
    <row r="268" ht="15.7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75"/>
      <c r="P268" s="75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</row>
    <row r="269" ht="15.7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75"/>
      <c r="P269" s="75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</row>
    <row r="270" ht="15.7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75"/>
      <c r="P270" s="75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</row>
    <row r="271" ht="15.7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75"/>
      <c r="P271" s="75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</row>
    <row r="272" ht="15.7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75"/>
      <c r="P272" s="75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</row>
    <row r="273" ht="15.7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75"/>
      <c r="P273" s="75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</row>
    <row r="274" ht="15.7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75"/>
      <c r="P274" s="75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</row>
    <row r="275" ht="15.7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75"/>
      <c r="P275" s="75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</row>
    <row r="276" ht="15.7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75"/>
      <c r="P276" s="75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</row>
    <row r="277" ht="15.7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75"/>
      <c r="P277" s="75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</row>
    <row r="278" ht="15.7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75"/>
      <c r="P278" s="75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</row>
    <row r="279" ht="15.7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75"/>
      <c r="P279" s="75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</row>
    <row r="280" ht="15.7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75"/>
      <c r="P280" s="75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</row>
    <row r="281" ht="15.7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75"/>
      <c r="P281" s="75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</row>
    <row r="282" ht="15.7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75"/>
      <c r="P282" s="75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</row>
    <row r="283" ht="15.7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75"/>
      <c r="P283" s="75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</row>
    <row r="284" ht="15.7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75"/>
      <c r="P284" s="75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</row>
    <row r="285" ht="15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75"/>
      <c r="P285" s="75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</row>
    <row r="286" ht="15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75"/>
      <c r="P286" s="75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</row>
    <row r="287" ht="15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75"/>
      <c r="P287" s="75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</row>
    <row r="288" ht="15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75"/>
      <c r="P288" s="75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</row>
    <row r="289" ht="15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75"/>
      <c r="P289" s="75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</row>
    <row r="290" ht="15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75"/>
      <c r="P290" s="75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</row>
    <row r="291" ht="15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75"/>
      <c r="P291" s="75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</row>
    <row r="292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75"/>
      <c r="P292" s="75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</row>
    <row r="293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75"/>
      <c r="P293" s="75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</row>
    <row r="294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75"/>
      <c r="P294" s="75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</row>
    <row r="295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75"/>
      <c r="P295" s="75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</row>
    <row r="296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75"/>
      <c r="P296" s="75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</row>
    <row r="297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75"/>
      <c r="P297" s="75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</row>
    <row r="29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75"/>
      <c r="P298" s="75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</row>
    <row r="299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75"/>
      <c r="P299" s="75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</row>
    <row r="300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75"/>
      <c r="P300" s="75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</row>
    <row r="301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75"/>
      <c r="P301" s="75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</row>
    <row r="302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75"/>
      <c r="P302" s="75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</row>
    <row r="303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75"/>
      <c r="P303" s="75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</row>
    <row r="304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75"/>
      <c r="P304" s="75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</row>
    <row r="305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75"/>
      <c r="P305" s="75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</row>
    <row r="306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75"/>
      <c r="P306" s="75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</row>
    <row r="307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75"/>
      <c r="P307" s="75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</row>
    <row r="30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75"/>
      <c r="P308" s="75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</row>
    <row r="309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75"/>
      <c r="P309" s="75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</row>
    <row r="310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75"/>
      <c r="P310" s="75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</row>
    <row r="311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75"/>
      <c r="P311" s="75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</row>
    <row r="312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75"/>
      <c r="P312" s="75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</row>
    <row r="313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75"/>
      <c r="P313" s="75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</row>
    <row r="314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75"/>
      <c r="P314" s="75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</row>
    <row r="315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75"/>
      <c r="P315" s="75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</row>
    <row r="316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75"/>
      <c r="P316" s="75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</row>
    <row r="317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75"/>
      <c r="P317" s="75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</row>
    <row r="31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75"/>
      <c r="P318" s="75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</row>
    <row r="319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75"/>
      <c r="P319" s="75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</row>
    <row r="320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75"/>
      <c r="P320" s="75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</row>
    <row r="321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75"/>
      <c r="P321" s="75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</row>
    <row r="322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75"/>
      <c r="P322" s="75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</row>
    <row r="323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75"/>
      <c r="P323" s="75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</row>
    <row r="324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75"/>
      <c r="P324" s="75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</row>
    <row r="325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75"/>
      <c r="P325" s="75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</row>
    <row r="326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75"/>
      <c r="P326" s="75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</row>
    <row r="327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75"/>
      <c r="P327" s="75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</row>
    <row r="3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75"/>
      <c r="P328" s="75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</row>
    <row r="329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75"/>
      <c r="P329" s="75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</row>
    <row r="330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75"/>
      <c r="P330" s="75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</row>
    <row r="331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75"/>
      <c r="P331" s="75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</row>
    <row r="332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75"/>
      <c r="P332" s="75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</row>
    <row r="333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75"/>
      <c r="P333" s="75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</row>
    <row r="334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75"/>
      <c r="P334" s="75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</row>
    <row r="335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75"/>
      <c r="P335" s="75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</row>
    <row r="336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75"/>
      <c r="P336" s="75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</row>
    <row r="337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75"/>
      <c r="P337" s="75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</row>
    <row r="33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75"/>
      <c r="P338" s="75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</row>
    <row r="339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75"/>
      <c r="P339" s="75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</row>
    <row r="340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75"/>
      <c r="P340" s="75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</row>
    <row r="341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75"/>
      <c r="P341" s="75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</row>
    <row r="342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75"/>
      <c r="P342" s="75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</row>
    <row r="343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75"/>
      <c r="P343" s="75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</row>
    <row r="344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75"/>
      <c r="P344" s="75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</row>
    <row r="345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75"/>
      <c r="P345" s="75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</row>
    <row r="346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75"/>
      <c r="P346" s="75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</row>
    <row r="347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75"/>
      <c r="P347" s="75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</row>
    <row r="34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75"/>
      <c r="P348" s="75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</row>
    <row r="349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75"/>
      <c r="P349" s="75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</row>
    <row r="350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75"/>
      <c r="P350" s="75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</row>
    <row r="351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75"/>
      <c r="P351" s="75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</row>
    <row r="352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75"/>
      <c r="P352" s="75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</row>
    <row r="353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75"/>
      <c r="P353" s="75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</row>
    <row r="354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75"/>
      <c r="P354" s="75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</row>
    <row r="355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75"/>
      <c r="P355" s="75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</row>
    <row r="356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75"/>
      <c r="P356" s="75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</row>
    <row r="357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75"/>
      <c r="P357" s="75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</row>
    <row r="35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75"/>
      <c r="P358" s="75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</row>
    <row r="359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75"/>
      <c r="P359" s="75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</row>
    <row r="360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75"/>
      <c r="P360" s="75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</row>
    <row r="361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75"/>
      <c r="P361" s="75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</row>
    <row r="362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75"/>
      <c r="P362" s="75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</row>
    <row r="363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75"/>
      <c r="P363" s="75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</row>
    <row r="364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75"/>
      <c r="P364" s="75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</row>
    <row r="365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75"/>
      <c r="P365" s="75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</row>
    <row r="366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75"/>
      <c r="P366" s="75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</row>
    <row r="367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75"/>
      <c r="P367" s="75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</row>
    <row r="36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75"/>
      <c r="P368" s="75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</row>
    <row r="369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75"/>
      <c r="P369" s="75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</row>
    <row r="370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75"/>
      <c r="P370" s="75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</row>
    <row r="371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75"/>
      <c r="P371" s="75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</row>
    <row r="372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75"/>
      <c r="P372" s="75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</row>
    <row r="373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75"/>
      <c r="P373" s="75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</row>
    <row r="374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75"/>
      <c r="P374" s="75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</row>
    <row r="375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75"/>
      <c r="P375" s="75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</row>
    <row r="376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75"/>
      <c r="P376" s="75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</row>
    <row r="377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75"/>
      <c r="P377" s="75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</row>
    <row r="37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75"/>
      <c r="P378" s="75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</row>
    <row r="379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75"/>
      <c r="P379" s="75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</row>
    <row r="380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75"/>
      <c r="P380" s="75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</row>
    <row r="381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75"/>
      <c r="P381" s="75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</row>
    <row r="382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75"/>
      <c r="P382" s="75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</row>
    <row r="383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75"/>
      <c r="P383" s="75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</row>
    <row r="384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75"/>
      <c r="P384" s="75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</row>
    <row r="385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75"/>
      <c r="P385" s="75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</row>
    <row r="386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75"/>
      <c r="P386" s="75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</row>
    <row r="387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75"/>
      <c r="P387" s="75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</row>
    <row r="38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75"/>
      <c r="P388" s="75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</row>
    <row r="389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75"/>
      <c r="P389" s="75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</row>
    <row r="390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75"/>
      <c r="P390" s="75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</row>
    <row r="391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75"/>
      <c r="P391" s="75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</row>
    <row r="392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75"/>
      <c r="P392" s="75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</row>
    <row r="393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75"/>
      <c r="P393" s="75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</row>
    <row r="394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75"/>
      <c r="P394" s="75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</row>
    <row r="395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75"/>
      <c r="P395" s="75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</row>
    <row r="396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75"/>
      <c r="P396" s="75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</row>
    <row r="397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75"/>
      <c r="P397" s="75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</row>
    <row r="39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75"/>
      <c r="P398" s="75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</row>
    <row r="399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75"/>
      <c r="P399" s="75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</row>
    <row r="400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75"/>
      <c r="P400" s="75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</row>
    <row r="401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75"/>
      <c r="P401" s="75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</row>
    <row r="402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75"/>
      <c r="P402" s="75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</row>
    <row r="403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75"/>
      <c r="P403" s="75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</row>
    <row r="404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75"/>
      <c r="P404" s="75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</row>
    <row r="405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75"/>
      <c r="P405" s="75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</row>
    <row r="406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75"/>
      <c r="P406" s="75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</row>
    <row r="407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75"/>
      <c r="P407" s="75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</row>
    <row r="40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75"/>
      <c r="P408" s="75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</row>
    <row r="409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75"/>
      <c r="P409" s="75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</row>
    <row r="410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75"/>
      <c r="P410" s="75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</row>
    <row r="411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75"/>
      <c r="P411" s="75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</row>
    <row r="412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75"/>
      <c r="P412" s="75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</row>
    <row r="413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75"/>
      <c r="P413" s="75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</row>
    <row r="414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75"/>
      <c r="P414" s="75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</row>
    <row r="415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75"/>
      <c r="P415" s="75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</row>
    <row r="416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75"/>
      <c r="P416" s="75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</row>
    <row r="417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75"/>
      <c r="P417" s="75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</row>
    <row r="41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75"/>
      <c r="P418" s="75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</row>
    <row r="419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75"/>
      <c r="P419" s="75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</row>
    <row r="420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75"/>
      <c r="P420" s="75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</row>
    <row r="421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75"/>
      <c r="P421" s="75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</row>
    <row r="422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75"/>
      <c r="P422" s="75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</row>
    <row r="423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75"/>
      <c r="P423" s="75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</row>
    <row r="424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75"/>
      <c r="P424" s="75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</row>
    <row r="425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75"/>
      <c r="P425" s="75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</row>
    <row r="426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75"/>
      <c r="P426" s="75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</row>
    <row r="427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75"/>
      <c r="P427" s="75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</row>
    <row r="4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75"/>
      <c r="P428" s="75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</row>
    <row r="429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75"/>
      <c r="P429" s="75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</row>
    <row r="430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75"/>
      <c r="P430" s="75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</row>
    <row r="431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75"/>
      <c r="P431" s="75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</row>
    <row r="432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75"/>
      <c r="P432" s="75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</row>
    <row r="433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75"/>
      <c r="P433" s="75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</row>
    <row r="434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75"/>
      <c r="P434" s="75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</row>
    <row r="435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75"/>
      <c r="P435" s="75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</row>
    <row r="436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75"/>
      <c r="P436" s="75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</row>
    <row r="437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75"/>
      <c r="P437" s="75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</row>
    <row r="43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75"/>
      <c r="P438" s="75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</row>
    <row r="439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75"/>
      <c r="P439" s="75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</row>
    <row r="440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75"/>
      <c r="P440" s="75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</row>
    <row r="441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75"/>
      <c r="P441" s="75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</row>
    <row r="442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75"/>
      <c r="P442" s="75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</row>
    <row r="443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75"/>
      <c r="P443" s="75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</row>
    <row r="444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75"/>
      <c r="P444" s="75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</row>
    <row r="445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75"/>
      <c r="P445" s="75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</row>
    <row r="446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75"/>
      <c r="P446" s="75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</row>
    <row r="447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75"/>
      <c r="P447" s="75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</row>
    <row r="44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75"/>
      <c r="P448" s="75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</row>
    <row r="449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75"/>
      <c r="P449" s="75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</row>
    <row r="450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75"/>
      <c r="P450" s="75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</row>
    <row r="451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75"/>
      <c r="P451" s="75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</row>
    <row r="452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75"/>
      <c r="P452" s="75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</row>
    <row r="453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75"/>
      <c r="P453" s="75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</row>
    <row r="454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75"/>
      <c r="P454" s="75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</row>
    <row r="455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75"/>
      <c r="P455" s="75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</row>
    <row r="456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75"/>
      <c r="P456" s="75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</row>
    <row r="457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75"/>
      <c r="P457" s="75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</row>
    <row r="45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75"/>
      <c r="P458" s="75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</row>
    <row r="459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75"/>
      <c r="P459" s="75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</row>
    <row r="460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75"/>
      <c r="P460" s="75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</row>
    <row r="461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75"/>
      <c r="P461" s="75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</row>
    <row r="462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75"/>
      <c r="P462" s="75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</row>
    <row r="463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75"/>
      <c r="P463" s="75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</row>
    <row r="464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75"/>
      <c r="P464" s="75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</row>
    <row r="465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75"/>
      <c r="P465" s="75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</row>
    <row r="466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75"/>
      <c r="P466" s="75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</row>
    <row r="467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75"/>
      <c r="P467" s="75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</row>
    <row r="46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75"/>
      <c r="P468" s="75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</row>
    <row r="469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75"/>
      <c r="P469" s="75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</row>
    <row r="470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75"/>
      <c r="P470" s="75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</row>
    <row r="471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75"/>
      <c r="P471" s="75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</row>
    <row r="472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75"/>
      <c r="P472" s="75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</row>
    <row r="473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75"/>
      <c r="P473" s="75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</row>
    <row r="474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75"/>
      <c r="P474" s="75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</row>
    <row r="475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75"/>
      <c r="P475" s="75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</row>
    <row r="476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75"/>
      <c r="P476" s="75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</row>
    <row r="477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75"/>
      <c r="P477" s="75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</row>
    <row r="47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75"/>
      <c r="P478" s="75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</row>
    <row r="479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75"/>
      <c r="P479" s="75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</row>
    <row r="480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75"/>
      <c r="P480" s="75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</row>
    <row r="481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75"/>
      <c r="P481" s="75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</row>
    <row r="482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75"/>
      <c r="P482" s="75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</row>
    <row r="483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75"/>
      <c r="P483" s="75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</row>
    <row r="484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75"/>
      <c r="P484" s="75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</row>
    <row r="485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75"/>
      <c r="P485" s="75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</row>
    <row r="486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75"/>
      <c r="P486" s="75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</row>
    <row r="487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75"/>
      <c r="P487" s="75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</row>
    <row r="48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75"/>
      <c r="P488" s="75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</row>
    <row r="489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75"/>
      <c r="P489" s="75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</row>
    <row r="490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75"/>
      <c r="P490" s="75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</row>
    <row r="491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75"/>
      <c r="P491" s="75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</row>
    <row r="492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75"/>
      <c r="P492" s="75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</row>
    <row r="493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75"/>
      <c r="P493" s="75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</row>
    <row r="494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75"/>
      <c r="P494" s="75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</row>
    <row r="495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75"/>
      <c r="P495" s="75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</row>
    <row r="496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75"/>
      <c r="P496" s="75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</row>
    <row r="497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75"/>
      <c r="P497" s="75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</row>
    <row r="49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75"/>
      <c r="P498" s="75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</row>
    <row r="499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75"/>
      <c r="P499" s="75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75"/>
      <c r="P500" s="75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</row>
    <row r="501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75"/>
      <c r="P501" s="75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</row>
    <row r="502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75"/>
      <c r="P502" s="75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</row>
    <row r="503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75"/>
      <c r="P503" s="75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</row>
    <row r="504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75"/>
      <c r="P504" s="75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75"/>
      <c r="P505" s="75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</row>
    <row r="506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75"/>
      <c r="P506" s="75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</row>
    <row r="507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75"/>
      <c r="P507" s="75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</row>
    <row r="50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75"/>
      <c r="P508" s="75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</row>
    <row r="509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75"/>
      <c r="P509" s="75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</row>
    <row r="510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75"/>
      <c r="P510" s="75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</row>
    <row r="511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75"/>
      <c r="P511" s="75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</row>
    <row r="512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75"/>
      <c r="P512" s="75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</row>
    <row r="513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75"/>
      <c r="P513" s="75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</row>
    <row r="514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75"/>
      <c r="P514" s="75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</row>
    <row r="515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75"/>
      <c r="P515" s="75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</row>
    <row r="516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75"/>
      <c r="P516" s="75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</row>
    <row r="517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75"/>
      <c r="P517" s="75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</row>
    <row r="51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75"/>
      <c r="P518" s="75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</row>
    <row r="519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75"/>
      <c r="P519" s="75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</row>
    <row r="520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75"/>
      <c r="P520" s="75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</row>
    <row r="521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75"/>
      <c r="P521" s="75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</row>
    <row r="522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75"/>
      <c r="P522" s="75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</row>
    <row r="523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75"/>
      <c r="P523" s="75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</row>
    <row r="524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75"/>
      <c r="P524" s="75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</row>
    <row r="525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75"/>
      <c r="P525" s="75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</row>
    <row r="526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75"/>
      <c r="P526" s="75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</row>
    <row r="527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75"/>
      <c r="P527" s="75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</row>
    <row r="5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75"/>
      <c r="P528" s="75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</row>
    <row r="529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75"/>
      <c r="P529" s="75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</row>
    <row r="530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75"/>
      <c r="P530" s="75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</row>
    <row r="531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75"/>
      <c r="P531" s="75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</row>
    <row r="532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75"/>
      <c r="P532" s="75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</row>
    <row r="533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75"/>
      <c r="P533" s="75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</row>
    <row r="534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75"/>
      <c r="P534" s="75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</row>
    <row r="535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75"/>
      <c r="P535" s="75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</row>
    <row r="536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75"/>
      <c r="P536" s="75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</row>
    <row r="537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75"/>
      <c r="P537" s="75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</row>
    <row r="53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75"/>
      <c r="P538" s="75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</row>
    <row r="539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75"/>
      <c r="P539" s="75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</row>
    <row r="540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75"/>
      <c r="P540" s="75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</row>
    <row r="541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75"/>
      <c r="P541" s="75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</row>
    <row r="542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75"/>
      <c r="P542" s="75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</row>
    <row r="543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75"/>
      <c r="P543" s="75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</row>
    <row r="544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75"/>
      <c r="P544" s="75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</row>
    <row r="545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75"/>
      <c r="P545" s="75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</row>
    <row r="546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75"/>
      <c r="P546" s="75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</row>
    <row r="547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75"/>
      <c r="P547" s="75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</row>
    <row r="54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75"/>
      <c r="P548" s="75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</row>
    <row r="549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75"/>
      <c r="P549" s="75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</row>
    <row r="550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75"/>
      <c r="P550" s="75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</row>
    <row r="551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75"/>
      <c r="P551" s="75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</row>
    <row r="552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75"/>
      <c r="P552" s="75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</row>
    <row r="553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75"/>
      <c r="P553" s="75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</row>
    <row r="554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75"/>
      <c r="P554" s="75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</row>
    <row r="555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75"/>
      <c r="P555" s="75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</row>
    <row r="556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75"/>
      <c r="P556" s="75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</row>
    <row r="557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75"/>
      <c r="P557" s="75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</row>
    <row r="55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75"/>
      <c r="P558" s="75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</row>
    <row r="559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75"/>
      <c r="P559" s="75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</row>
    <row r="560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75"/>
      <c r="P560" s="75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</row>
    <row r="561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75"/>
      <c r="P561" s="75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</row>
    <row r="562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75"/>
      <c r="P562" s="75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</row>
    <row r="563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75"/>
      <c r="P563" s="75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</row>
    <row r="564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75"/>
      <c r="P564" s="75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</row>
    <row r="565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75"/>
      <c r="P565" s="75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</row>
    <row r="566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75"/>
      <c r="P566" s="75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</row>
    <row r="567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75"/>
      <c r="P567" s="75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</row>
    <row r="56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75"/>
      <c r="P568" s="75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</row>
    <row r="569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75"/>
      <c r="P569" s="75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</row>
    <row r="570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75"/>
      <c r="P570" s="75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</row>
    <row r="571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75"/>
      <c r="P571" s="75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</row>
    <row r="572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75"/>
      <c r="P572" s="75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</row>
    <row r="573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75"/>
      <c r="P573" s="75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</row>
    <row r="574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75"/>
      <c r="P574" s="75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</row>
    <row r="575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75"/>
      <c r="P575" s="75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</row>
    <row r="576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75"/>
      <c r="P576" s="75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</row>
    <row r="577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75"/>
      <c r="P577" s="75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</row>
    <row r="57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75"/>
      <c r="P578" s="75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</row>
    <row r="579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75"/>
      <c r="P579" s="75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</row>
    <row r="580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75"/>
      <c r="P580" s="75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</row>
    <row r="581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75"/>
      <c r="P581" s="75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</row>
    <row r="582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75"/>
      <c r="P582" s="75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</row>
    <row r="583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75"/>
      <c r="P583" s="75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</row>
    <row r="584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75"/>
      <c r="P584" s="75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</row>
    <row r="585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75"/>
      <c r="P585" s="75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</row>
    <row r="586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75"/>
      <c r="P586" s="75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</row>
    <row r="587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75"/>
      <c r="P587" s="75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</row>
    <row r="58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75"/>
      <c r="P588" s="75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</row>
    <row r="589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75"/>
      <c r="P589" s="75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</row>
    <row r="590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75"/>
      <c r="P590" s="75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</row>
    <row r="591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75"/>
      <c r="P591" s="75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</row>
    <row r="592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75"/>
      <c r="P592" s="75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</row>
    <row r="593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75"/>
      <c r="P593" s="75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</row>
    <row r="594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75"/>
      <c r="P594" s="75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</row>
    <row r="595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75"/>
      <c r="P595" s="75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</row>
    <row r="596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75"/>
      <c r="P596" s="75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</row>
    <row r="597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75"/>
      <c r="P597" s="75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</row>
    <row r="59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75"/>
      <c r="P598" s="75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</row>
    <row r="599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75"/>
      <c r="P599" s="75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</row>
    <row r="600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75"/>
      <c r="P600" s="75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</row>
    <row r="601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75"/>
      <c r="P601" s="75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</row>
    <row r="602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75"/>
      <c r="P602" s="75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</row>
    <row r="603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75"/>
      <c r="P603" s="75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</row>
    <row r="604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75"/>
      <c r="P604" s="75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</row>
    <row r="605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75"/>
      <c r="P605" s="75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</row>
    <row r="606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75"/>
      <c r="P606" s="75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</row>
    <row r="607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75"/>
      <c r="P607" s="75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</row>
    <row r="60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75"/>
      <c r="P608" s="75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</row>
    <row r="609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75"/>
      <c r="P609" s="75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</row>
    <row r="610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75"/>
      <c r="P610" s="75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</row>
    <row r="611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75"/>
      <c r="P611" s="75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</row>
    <row r="612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75"/>
      <c r="P612" s="75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</row>
    <row r="613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75"/>
      <c r="P613" s="75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</row>
    <row r="614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75"/>
      <c r="P614" s="75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</row>
    <row r="615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75"/>
      <c r="P615" s="75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</row>
    <row r="616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75"/>
      <c r="P616" s="75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</row>
    <row r="617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75"/>
      <c r="P617" s="75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</row>
    <row r="61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75"/>
      <c r="P618" s="75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</row>
    <row r="619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75"/>
      <c r="P619" s="75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</row>
    <row r="620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75"/>
      <c r="P620" s="75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</row>
    <row r="621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75"/>
      <c r="P621" s="75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</row>
    <row r="622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75"/>
      <c r="P622" s="75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</row>
    <row r="623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75"/>
      <c r="P623" s="75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</row>
    <row r="624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75"/>
      <c r="P624" s="75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75"/>
      <c r="P625" s="75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75"/>
      <c r="P626" s="75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75"/>
      <c r="P627" s="75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75"/>
      <c r="P628" s="75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75"/>
      <c r="P629" s="75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75"/>
      <c r="P630" s="75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75"/>
      <c r="P631" s="75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75"/>
      <c r="P632" s="75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75"/>
      <c r="P633" s="75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75"/>
      <c r="P634" s="75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75"/>
      <c r="P635" s="75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75"/>
      <c r="P636" s="75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75"/>
      <c r="P637" s="75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75"/>
      <c r="P638" s="75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75"/>
      <c r="P639" s="75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75"/>
      <c r="P640" s="75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75"/>
      <c r="P641" s="75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75"/>
      <c r="P642" s="75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75"/>
      <c r="P643" s="75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75"/>
      <c r="P644" s="75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75"/>
      <c r="P645" s="75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75"/>
      <c r="P646" s="75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75"/>
      <c r="P647" s="75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75"/>
      <c r="P648" s="75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75"/>
      <c r="P649" s="75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75"/>
      <c r="P650" s="75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75"/>
      <c r="P651" s="75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75"/>
      <c r="P652" s="75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75"/>
      <c r="P653" s="75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75"/>
      <c r="P654" s="75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75"/>
      <c r="P655" s="75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75"/>
      <c r="P656" s="75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75"/>
      <c r="P657" s="75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75"/>
      <c r="P658" s="75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75"/>
      <c r="P659" s="75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75"/>
      <c r="P660" s="75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75"/>
      <c r="P661" s="75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75"/>
      <c r="P662" s="75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75"/>
      <c r="P663" s="75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75"/>
      <c r="P664" s="75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75"/>
      <c r="P665" s="75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75"/>
      <c r="P666" s="75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75"/>
      <c r="P667" s="75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75"/>
      <c r="P668" s="75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75"/>
      <c r="P669" s="75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75"/>
      <c r="P670" s="75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75"/>
      <c r="P671" s="75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75"/>
      <c r="P672" s="75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75"/>
      <c r="P673" s="75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75"/>
      <c r="P674" s="75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75"/>
      <c r="P675" s="75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75"/>
      <c r="P676" s="75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75"/>
      <c r="P677" s="75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75"/>
      <c r="P678" s="75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75"/>
      <c r="P679" s="75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75"/>
      <c r="P680" s="75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75"/>
      <c r="P681" s="75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75"/>
      <c r="P682" s="75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75"/>
      <c r="P683" s="75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75"/>
      <c r="P684" s="75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75"/>
      <c r="P685" s="75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75"/>
      <c r="P686" s="75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75"/>
      <c r="P687" s="75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75"/>
      <c r="P688" s="75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75"/>
      <c r="P689" s="75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75"/>
      <c r="P690" s="75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75"/>
      <c r="P691" s="75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75"/>
      <c r="P692" s="75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75"/>
      <c r="P693" s="75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75"/>
      <c r="P694" s="75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75"/>
      <c r="P695" s="75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75"/>
      <c r="P696" s="75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75"/>
      <c r="P697" s="75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75"/>
      <c r="P698" s="75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75"/>
      <c r="P699" s="75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75"/>
      <c r="P700" s="75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75"/>
      <c r="P701" s="75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75"/>
      <c r="P702" s="75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75"/>
      <c r="P703" s="75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75"/>
      <c r="P704" s="75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75"/>
      <c r="P705" s="75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75"/>
      <c r="P706" s="75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75"/>
      <c r="P707" s="75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75"/>
      <c r="P708" s="75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75"/>
      <c r="P709" s="75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75"/>
      <c r="P710" s="75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75"/>
      <c r="P711" s="75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75"/>
      <c r="P712" s="75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75"/>
      <c r="P713" s="75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75"/>
      <c r="P714" s="75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75"/>
      <c r="P715" s="75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75"/>
      <c r="P716" s="75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75"/>
      <c r="P717" s="75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75"/>
      <c r="P718" s="75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75"/>
      <c r="P719" s="75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75"/>
      <c r="P720" s="75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75"/>
      <c r="P721" s="75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75"/>
      <c r="P722" s="75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75"/>
      <c r="P723" s="75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75"/>
      <c r="P724" s="75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75"/>
      <c r="P725" s="75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75"/>
      <c r="P726" s="75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75"/>
      <c r="P727" s="75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75"/>
      <c r="P728" s="75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75"/>
      <c r="P729" s="75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75"/>
      <c r="P730" s="75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75"/>
      <c r="P731" s="75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75"/>
      <c r="P732" s="75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75"/>
      <c r="P733" s="75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75"/>
      <c r="P734" s="75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75"/>
      <c r="P735" s="75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75"/>
      <c r="P736" s="75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75"/>
      <c r="P737" s="75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75"/>
      <c r="P738" s="75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75"/>
      <c r="P739" s="75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75"/>
      <c r="P740" s="75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75"/>
      <c r="P741" s="75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75"/>
      <c r="P742" s="75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75"/>
      <c r="P743" s="75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75"/>
      <c r="P744" s="75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75"/>
      <c r="P745" s="75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75"/>
      <c r="P746" s="75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75"/>
      <c r="P747" s="75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75"/>
      <c r="P748" s="75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75"/>
      <c r="P749" s="75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75"/>
      <c r="P750" s="75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75"/>
      <c r="P751" s="75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75"/>
      <c r="P752" s="75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75"/>
      <c r="P753" s="75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75"/>
      <c r="P754" s="75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75"/>
      <c r="P755" s="75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75"/>
      <c r="P756" s="75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75"/>
      <c r="P757" s="75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75"/>
      <c r="P758" s="75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75"/>
      <c r="P759" s="75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75"/>
      <c r="P760" s="75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75"/>
      <c r="P761" s="75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75"/>
      <c r="P762" s="75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75"/>
      <c r="P763" s="75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75"/>
      <c r="P764" s="75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75"/>
      <c r="P765" s="75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75"/>
      <c r="P766" s="75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75"/>
      <c r="P767" s="75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75"/>
      <c r="P768" s="75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75"/>
      <c r="P769" s="75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75"/>
      <c r="P770" s="75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75"/>
      <c r="P771" s="75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75"/>
      <c r="P772" s="75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75"/>
      <c r="P773" s="75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75"/>
      <c r="P774" s="75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75"/>
      <c r="P775" s="75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75"/>
      <c r="P776" s="75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75"/>
      <c r="P777" s="75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75"/>
      <c r="P778" s="75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75"/>
      <c r="P779" s="75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75"/>
      <c r="P780" s="75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75"/>
      <c r="P781" s="75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75"/>
      <c r="P782" s="75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75"/>
      <c r="P783" s="75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75"/>
      <c r="P784" s="75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75"/>
      <c r="P785" s="75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75"/>
      <c r="P786" s="75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75"/>
      <c r="P787" s="75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75"/>
      <c r="P788" s="75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75"/>
      <c r="P789" s="75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75"/>
      <c r="P790" s="75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75"/>
      <c r="P791" s="75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75"/>
      <c r="P792" s="75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75"/>
      <c r="P793" s="75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75"/>
      <c r="P794" s="75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75"/>
      <c r="P795" s="75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75"/>
      <c r="P796" s="75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75"/>
      <c r="P797" s="75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75"/>
      <c r="P798" s="75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75"/>
      <c r="P799" s="75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75"/>
      <c r="P800" s="75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75"/>
      <c r="P801" s="75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75"/>
      <c r="P802" s="75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75"/>
      <c r="P803" s="75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75"/>
      <c r="P804" s="75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75"/>
      <c r="P805" s="75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75"/>
      <c r="P806" s="75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75"/>
      <c r="P807" s="75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75"/>
      <c r="P808" s="75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</row>
    <row r="809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75"/>
      <c r="P809" s="75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</row>
    <row r="810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75"/>
      <c r="P810" s="75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</row>
    <row r="811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75"/>
      <c r="P811" s="75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</row>
    <row r="812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75"/>
      <c r="P812" s="75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</row>
    <row r="813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75"/>
      <c r="P813" s="75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</row>
    <row r="814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75"/>
      <c r="P814" s="75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Col="1" outlineLevelRow="1"/>
  <cols>
    <col customWidth="1" min="1" max="1" width="1.14"/>
    <col customWidth="1" min="2" max="2" width="27.43"/>
    <col customWidth="1" min="3" max="7" width="13.43"/>
    <col customWidth="1" min="8" max="8" width="11.86"/>
    <col customWidth="1" min="9" max="13" width="13.43"/>
    <col collapsed="1" customWidth="1" min="14" max="14" width="13.43"/>
    <col customWidth="1" hidden="1" min="15" max="26" width="13.43" outlineLevel="1"/>
    <col customWidth="1" min="27" max="28" width="13.29"/>
    <col customWidth="1" min="29" max="29" width="3.43"/>
  </cols>
  <sheetData>
    <row r="1" ht="9.0" customHeight="1">
      <c r="A1" s="48"/>
      <c r="B1" s="49"/>
      <c r="C1" s="48"/>
      <c r="D1" s="48"/>
      <c r="E1" s="48"/>
      <c r="F1" s="48"/>
      <c r="G1" s="50"/>
      <c r="H1" s="50"/>
      <c r="I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ht="21.0" customHeight="1">
      <c r="A2" s="53"/>
      <c r="B2" s="91" t="s">
        <v>48</v>
      </c>
      <c r="C2" s="92">
        <v>46141.0</v>
      </c>
      <c r="D2" s="93"/>
      <c r="E2" s="93"/>
      <c r="F2" s="60"/>
      <c r="G2" s="60"/>
      <c r="H2" s="60"/>
      <c r="I2" s="60"/>
      <c r="J2" s="60"/>
      <c r="K2" s="60"/>
      <c r="L2" s="60"/>
      <c r="M2" s="60"/>
      <c r="AA2" s="94" t="s">
        <v>28</v>
      </c>
      <c r="AB2" s="95">
        <v>2026.0</v>
      </c>
      <c r="AC2" s="60"/>
    </row>
    <row r="3" ht="9.75" customHeight="1">
      <c r="A3" s="50"/>
      <c r="B3" s="49"/>
      <c r="C3" s="61"/>
      <c r="D3" s="61"/>
      <c r="E3" s="62"/>
      <c r="F3" s="61"/>
      <c r="G3" s="61"/>
      <c r="H3" s="61"/>
      <c r="I3" s="61"/>
      <c r="J3" s="61"/>
      <c r="K3" s="61"/>
      <c r="L3" s="61"/>
      <c r="M3" s="6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61"/>
    </row>
    <row r="4" ht="21.0" customHeight="1">
      <c r="A4" s="63"/>
      <c r="B4" s="96" t="s">
        <v>29</v>
      </c>
      <c r="C4" s="97">
        <v>46023.0</v>
      </c>
      <c r="D4" s="98"/>
      <c r="E4" s="97">
        <v>46054.0</v>
      </c>
      <c r="F4" s="98"/>
      <c r="G4" s="97">
        <v>46082.0</v>
      </c>
      <c r="H4" s="98"/>
      <c r="I4" s="97">
        <v>46113.0</v>
      </c>
      <c r="J4" s="98"/>
      <c r="K4" s="97">
        <v>46143.0</v>
      </c>
      <c r="L4" s="98"/>
      <c r="M4" s="97">
        <v>46174.0</v>
      </c>
      <c r="N4" s="98"/>
      <c r="O4" s="97">
        <v>46204.0</v>
      </c>
      <c r="P4" s="98"/>
      <c r="Q4" s="97">
        <v>46235.0</v>
      </c>
      <c r="R4" s="98"/>
      <c r="S4" s="97">
        <v>46266.0</v>
      </c>
      <c r="T4" s="98"/>
      <c r="U4" s="97">
        <v>46296.0</v>
      </c>
      <c r="V4" s="98"/>
      <c r="W4" s="97">
        <v>46327.0</v>
      </c>
      <c r="X4" s="98"/>
      <c r="Y4" s="97">
        <v>46357.0</v>
      </c>
      <c r="Z4" s="98"/>
      <c r="AA4" s="99" t="s">
        <v>30</v>
      </c>
      <c r="AB4" s="100" t="s">
        <v>31</v>
      </c>
      <c r="AC4" s="68"/>
    </row>
    <row r="5" ht="4.5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ht="20.25" customHeight="1">
      <c r="A6" s="71"/>
      <c r="B6" s="101" t="s">
        <v>49</v>
      </c>
      <c r="C6" s="102">
        <f>sum(C9:D21)</f>
        <v>33201.55</v>
      </c>
      <c r="D6" s="103"/>
      <c r="E6" s="102">
        <f>F8+C8</f>
        <v>14581.58</v>
      </c>
      <c r="F6" s="103"/>
      <c r="G6" s="102">
        <f>H8+E8</f>
        <v>15775.83</v>
      </c>
      <c r="H6" s="103"/>
      <c r="I6" s="102">
        <f>J8+G8</f>
        <v>39389.19</v>
      </c>
      <c r="J6" s="103"/>
      <c r="K6" s="102">
        <f>L8+I8</f>
        <v>7885.4</v>
      </c>
      <c r="L6" s="103"/>
      <c r="M6" s="102">
        <f>N8+K8</f>
        <v>273.21</v>
      </c>
      <c r="N6" s="103"/>
      <c r="O6" s="102">
        <f>sum(O9:P21)</f>
        <v>0</v>
      </c>
      <c r="P6" s="103"/>
      <c r="Q6" s="102">
        <f>sum(Q9:R21)</f>
        <v>0</v>
      </c>
      <c r="R6" s="103"/>
      <c r="S6" s="102">
        <f>sum(S9:T21)</f>
        <v>0</v>
      </c>
      <c r="T6" s="103"/>
      <c r="U6" s="102">
        <f>sum(U9:V21)</f>
        <v>0</v>
      </c>
      <c r="V6" s="103"/>
      <c r="W6" s="102">
        <f>sum(W9:X21)</f>
        <v>0</v>
      </c>
      <c r="X6" s="103"/>
      <c r="Y6" s="102">
        <f>sum(Y9:Z21)</f>
        <v>0</v>
      </c>
      <c r="Z6" s="103"/>
      <c r="AA6" s="104">
        <f>sum(AA9:AA20)</f>
        <v>102300.81</v>
      </c>
      <c r="AB6" s="104">
        <f>AVERAGE(D6:N6)</f>
        <v>15581.042</v>
      </c>
      <c r="AC6" s="74"/>
    </row>
    <row r="7" ht="14.25" customHeight="1">
      <c r="A7" s="71"/>
      <c r="B7" s="105" t="s">
        <v>50</v>
      </c>
      <c r="C7" s="106" t="s">
        <v>51</v>
      </c>
      <c r="D7" s="107" t="s">
        <v>52</v>
      </c>
      <c r="E7" s="106" t="s">
        <v>51</v>
      </c>
      <c r="F7" s="107" t="s">
        <v>52</v>
      </c>
      <c r="G7" s="106" t="s">
        <v>51</v>
      </c>
      <c r="H7" s="107" t="s">
        <v>52</v>
      </c>
      <c r="I7" s="106" t="s">
        <v>51</v>
      </c>
      <c r="J7" s="107" t="s">
        <v>52</v>
      </c>
      <c r="K7" s="106" t="s">
        <v>51</v>
      </c>
      <c r="L7" s="107" t="s">
        <v>52</v>
      </c>
      <c r="M7" s="106" t="s">
        <v>51</v>
      </c>
      <c r="N7" s="107" t="s">
        <v>52</v>
      </c>
      <c r="O7" s="106" t="s">
        <v>51</v>
      </c>
      <c r="P7" s="107" t="s">
        <v>52</v>
      </c>
      <c r="Q7" s="106" t="s">
        <v>51</v>
      </c>
      <c r="R7" s="107" t="s">
        <v>52</v>
      </c>
      <c r="S7" s="106" t="s">
        <v>51</v>
      </c>
      <c r="T7" s="107" t="s">
        <v>52</v>
      </c>
      <c r="U7" s="106" t="s">
        <v>51</v>
      </c>
      <c r="V7" s="107" t="s">
        <v>52</v>
      </c>
      <c r="W7" s="106" t="s">
        <v>51</v>
      </c>
      <c r="X7" s="107" t="s">
        <v>52</v>
      </c>
      <c r="Y7" s="106" t="s">
        <v>51</v>
      </c>
      <c r="Z7" s="107" t="s">
        <v>52</v>
      </c>
      <c r="AA7" s="108"/>
      <c r="AB7" s="108"/>
      <c r="AC7" s="74"/>
    </row>
    <row r="8">
      <c r="A8" s="71"/>
      <c r="B8" s="109" t="s">
        <v>53</v>
      </c>
      <c r="C8" s="110">
        <f t="shared" ref="C8:N8" si="1">SUM(C9:C21)</f>
        <v>8882.18</v>
      </c>
      <c r="D8" s="110">
        <f t="shared" si="1"/>
        <v>24319.37</v>
      </c>
      <c r="E8" s="110">
        <f t="shared" si="1"/>
        <v>8594.53</v>
      </c>
      <c r="F8" s="110">
        <f t="shared" si="1"/>
        <v>5699.4</v>
      </c>
      <c r="G8" s="110">
        <f t="shared" si="1"/>
        <v>10517.84</v>
      </c>
      <c r="H8" s="110">
        <f t="shared" si="1"/>
        <v>7181.3</v>
      </c>
      <c r="I8" s="110">
        <f t="shared" si="1"/>
        <v>7885.4</v>
      </c>
      <c r="J8" s="110">
        <f t="shared" si="1"/>
        <v>28871.35</v>
      </c>
      <c r="K8" s="110">
        <f t="shared" si="1"/>
        <v>273.21</v>
      </c>
      <c r="L8" s="110">
        <f t="shared" si="1"/>
        <v>0</v>
      </c>
      <c r="M8" s="110">
        <f t="shared" si="1"/>
        <v>76.23</v>
      </c>
      <c r="N8" s="110">
        <f t="shared" si="1"/>
        <v>0</v>
      </c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2"/>
      <c r="AB8" s="112"/>
      <c r="AC8" s="74"/>
    </row>
    <row r="9">
      <c r="A9" s="76"/>
      <c r="B9" s="113" t="str">
        <f t="shared" ref="B9:N9" si="2">B23</f>
        <v>Moradia</v>
      </c>
      <c r="C9" s="114">
        <f t="shared" si="2"/>
        <v>629.06</v>
      </c>
      <c r="D9" s="114">
        <f t="shared" si="2"/>
        <v>4841.36</v>
      </c>
      <c r="E9" s="114">
        <f t="shared" si="2"/>
        <v>344.91</v>
      </c>
      <c r="F9" s="114">
        <f t="shared" si="2"/>
        <v>3500</v>
      </c>
      <c r="G9" s="114">
        <f t="shared" si="2"/>
        <v>538.59</v>
      </c>
      <c r="H9" s="114">
        <f t="shared" si="2"/>
        <v>4168.09</v>
      </c>
      <c r="I9" s="114">
        <f t="shared" si="2"/>
        <v>432.64</v>
      </c>
      <c r="J9" s="114">
        <f t="shared" si="2"/>
        <v>5689.22</v>
      </c>
      <c r="K9" s="114">
        <f t="shared" si="2"/>
        <v>76.23</v>
      </c>
      <c r="L9" s="114">
        <f t="shared" si="2"/>
        <v>0</v>
      </c>
      <c r="M9" s="114">
        <f t="shared" si="2"/>
        <v>76.23</v>
      </c>
      <c r="N9" s="114">
        <f t="shared" si="2"/>
        <v>0</v>
      </c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2">
        <f t="shared" ref="AA9:AA21" si="4">SUM(C9:N9)</f>
        <v>20296.33</v>
      </c>
      <c r="AB9" s="112">
        <f t="shared" ref="AB9:AB21" si="5">AVERAGE(C9:N9)</f>
        <v>1691.360833</v>
      </c>
      <c r="AC9" s="81"/>
    </row>
    <row r="10">
      <c r="A10" s="76"/>
      <c r="B10" s="113" t="str">
        <f t="shared" ref="B10:N10" si="3">B41</f>
        <v>Alimentação</v>
      </c>
      <c r="C10" s="114">
        <f t="shared" si="3"/>
        <v>1887.85</v>
      </c>
      <c r="D10" s="114">
        <f t="shared" si="3"/>
        <v>1956.43</v>
      </c>
      <c r="E10" s="114">
        <f t="shared" si="3"/>
        <v>1855.14</v>
      </c>
      <c r="F10" s="114">
        <f t="shared" si="3"/>
        <v>703.13</v>
      </c>
      <c r="G10" s="114">
        <f t="shared" si="3"/>
        <v>2714.46</v>
      </c>
      <c r="H10" s="114">
        <f t="shared" si="3"/>
        <v>726.89</v>
      </c>
      <c r="I10" s="114">
        <f t="shared" si="3"/>
        <v>333.88</v>
      </c>
      <c r="J10" s="114">
        <f t="shared" si="3"/>
        <v>2611.43</v>
      </c>
      <c r="K10" s="114">
        <f t="shared" si="3"/>
        <v>0</v>
      </c>
      <c r="L10" s="114">
        <f t="shared" si="3"/>
        <v>0</v>
      </c>
      <c r="M10" s="114">
        <f t="shared" si="3"/>
        <v>0</v>
      </c>
      <c r="N10" s="114">
        <f t="shared" si="3"/>
        <v>0</v>
      </c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2">
        <f t="shared" si="4"/>
        <v>12789.21</v>
      </c>
      <c r="AB10" s="112">
        <f t="shared" si="5"/>
        <v>1065.7675</v>
      </c>
      <c r="AC10" s="81"/>
    </row>
    <row r="11">
      <c r="A11" s="76"/>
      <c r="B11" s="113" t="str">
        <f t="shared" ref="B11:N11" si="6">B51</f>
        <v>Transporte</v>
      </c>
      <c r="C11" s="114">
        <f t="shared" si="6"/>
        <v>2633.63</v>
      </c>
      <c r="D11" s="114">
        <f t="shared" si="6"/>
        <v>267.81</v>
      </c>
      <c r="E11" s="114">
        <f t="shared" si="6"/>
        <v>2941.21</v>
      </c>
      <c r="F11" s="114">
        <f t="shared" si="6"/>
        <v>331.41</v>
      </c>
      <c r="G11" s="114">
        <f t="shared" si="6"/>
        <v>2788.85</v>
      </c>
      <c r="H11" s="114">
        <f t="shared" si="6"/>
        <v>465.39</v>
      </c>
      <c r="I11" s="114">
        <f t="shared" si="6"/>
        <v>2609.15</v>
      </c>
      <c r="J11" s="114">
        <f t="shared" si="6"/>
        <v>364.63</v>
      </c>
      <c r="K11" s="114">
        <f t="shared" si="6"/>
        <v>0</v>
      </c>
      <c r="L11" s="114">
        <f t="shared" si="6"/>
        <v>0</v>
      </c>
      <c r="M11" s="114">
        <f t="shared" si="6"/>
        <v>0</v>
      </c>
      <c r="N11" s="114">
        <f t="shared" si="6"/>
        <v>0</v>
      </c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2">
        <f t="shared" si="4"/>
        <v>12402.08</v>
      </c>
      <c r="AB11" s="112">
        <f t="shared" si="5"/>
        <v>1033.506667</v>
      </c>
      <c r="AC11" s="81"/>
    </row>
    <row r="12">
      <c r="A12" s="76"/>
      <c r="B12" s="113" t="str">
        <f t="shared" ref="B12:N12" si="7">B67</f>
        <v>Saúde</v>
      </c>
      <c r="C12" s="114">
        <f t="shared" si="7"/>
        <v>0</v>
      </c>
      <c r="D12" s="114">
        <f t="shared" si="7"/>
        <v>531.38</v>
      </c>
      <c r="E12" s="114">
        <f t="shared" si="7"/>
        <v>89.91</v>
      </c>
      <c r="F12" s="114">
        <f t="shared" si="7"/>
        <v>25.58</v>
      </c>
      <c r="G12" s="114">
        <f t="shared" si="7"/>
        <v>173.1</v>
      </c>
      <c r="H12" s="114">
        <f t="shared" si="7"/>
        <v>0</v>
      </c>
      <c r="I12" s="114">
        <f t="shared" si="7"/>
        <v>310.65</v>
      </c>
      <c r="J12" s="114">
        <f t="shared" si="7"/>
        <v>34.54</v>
      </c>
      <c r="K12" s="114">
        <f t="shared" si="7"/>
        <v>0</v>
      </c>
      <c r="L12" s="114">
        <f t="shared" si="7"/>
        <v>0</v>
      </c>
      <c r="M12" s="114">
        <f t="shared" si="7"/>
        <v>0</v>
      </c>
      <c r="N12" s="114">
        <f t="shared" si="7"/>
        <v>0</v>
      </c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2">
        <f t="shared" si="4"/>
        <v>1165.16</v>
      </c>
      <c r="AB12" s="112">
        <f t="shared" si="5"/>
        <v>97.09666667</v>
      </c>
      <c r="AC12" s="81"/>
    </row>
    <row r="13">
      <c r="A13" s="76"/>
      <c r="B13" s="113" t="str">
        <f t="shared" ref="B13:N13" si="8">B76</f>
        <v>Pessoal</v>
      </c>
      <c r="C13" s="114">
        <f t="shared" si="8"/>
        <v>1794.11</v>
      </c>
      <c r="D13" s="114">
        <f t="shared" si="8"/>
        <v>1100.84</v>
      </c>
      <c r="E13" s="114">
        <f t="shared" si="8"/>
        <v>2174.74</v>
      </c>
      <c r="F13" s="114">
        <f t="shared" si="8"/>
        <v>503.58</v>
      </c>
      <c r="G13" s="114">
        <f t="shared" si="8"/>
        <v>794.74</v>
      </c>
      <c r="H13" s="114">
        <f t="shared" si="8"/>
        <v>895.55</v>
      </c>
      <c r="I13" s="114">
        <f t="shared" si="8"/>
        <v>2062.39</v>
      </c>
      <c r="J13" s="114">
        <f t="shared" si="8"/>
        <v>3048.33</v>
      </c>
      <c r="K13" s="114">
        <f t="shared" si="8"/>
        <v>125</v>
      </c>
      <c r="L13" s="114">
        <f t="shared" si="8"/>
        <v>0</v>
      </c>
      <c r="M13" s="114">
        <f t="shared" si="8"/>
        <v>0</v>
      </c>
      <c r="N13" s="114">
        <f t="shared" si="8"/>
        <v>0</v>
      </c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2">
        <f t="shared" si="4"/>
        <v>12499.28</v>
      </c>
      <c r="AB13" s="112">
        <f t="shared" si="5"/>
        <v>1041.606667</v>
      </c>
      <c r="AC13" s="81"/>
    </row>
    <row r="14">
      <c r="A14" s="76"/>
      <c r="B14" s="113" t="str">
        <f t="shared" ref="B14:N14" si="9">B87</f>
        <v>Dogs</v>
      </c>
      <c r="C14" s="114">
        <f t="shared" si="9"/>
        <v>205</v>
      </c>
      <c r="D14" s="114">
        <f t="shared" si="9"/>
        <v>84.89</v>
      </c>
      <c r="E14" s="114">
        <f t="shared" si="9"/>
        <v>389.85</v>
      </c>
      <c r="F14" s="114">
        <f t="shared" si="9"/>
        <v>0</v>
      </c>
      <c r="G14" s="114">
        <f t="shared" si="9"/>
        <v>723.25</v>
      </c>
      <c r="H14" s="114">
        <f t="shared" si="9"/>
        <v>0</v>
      </c>
      <c r="I14" s="114">
        <f t="shared" si="9"/>
        <v>696.29</v>
      </c>
      <c r="J14" s="114">
        <f t="shared" si="9"/>
        <v>0</v>
      </c>
      <c r="K14" s="114">
        <f t="shared" si="9"/>
        <v>0</v>
      </c>
      <c r="L14" s="114">
        <f t="shared" si="9"/>
        <v>0</v>
      </c>
      <c r="M14" s="114">
        <f t="shared" si="9"/>
        <v>0</v>
      </c>
      <c r="N14" s="114">
        <f t="shared" si="9"/>
        <v>0</v>
      </c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2">
        <f t="shared" si="4"/>
        <v>2099.28</v>
      </c>
      <c r="AB14" s="112">
        <f t="shared" si="5"/>
        <v>174.94</v>
      </c>
      <c r="AC14" s="81"/>
    </row>
    <row r="15">
      <c r="A15" s="76"/>
      <c r="B15" s="113" t="str">
        <f t="shared" ref="B15:N15" si="10">B95</f>
        <v>Lazer</v>
      </c>
      <c r="C15" s="114">
        <f t="shared" si="10"/>
        <v>1201.4</v>
      </c>
      <c r="D15" s="114">
        <f t="shared" si="10"/>
        <v>608.84</v>
      </c>
      <c r="E15" s="114">
        <f t="shared" si="10"/>
        <v>740.39</v>
      </c>
      <c r="F15" s="114">
        <f t="shared" si="10"/>
        <v>336.75</v>
      </c>
      <c r="G15" s="114">
        <f t="shared" si="10"/>
        <v>681.91</v>
      </c>
      <c r="H15" s="114">
        <f t="shared" si="10"/>
        <v>173.77</v>
      </c>
      <c r="I15" s="114">
        <f t="shared" si="10"/>
        <v>1140.73</v>
      </c>
      <c r="J15" s="114">
        <f t="shared" si="10"/>
        <v>1496.91</v>
      </c>
      <c r="K15" s="114">
        <f t="shared" si="10"/>
        <v>0</v>
      </c>
      <c r="L15" s="114">
        <f t="shared" si="10"/>
        <v>0</v>
      </c>
      <c r="M15" s="114">
        <f t="shared" si="10"/>
        <v>0</v>
      </c>
      <c r="N15" s="114">
        <f t="shared" si="10"/>
        <v>0</v>
      </c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2">
        <f t="shared" si="4"/>
        <v>6380.7</v>
      </c>
      <c r="AB15" s="112">
        <f t="shared" si="5"/>
        <v>531.725</v>
      </c>
      <c r="AC15" s="81"/>
    </row>
    <row r="16">
      <c r="A16" s="76"/>
      <c r="B16" s="113" t="str">
        <f t="shared" ref="B16:N16" si="11">B103</f>
        <v>Despesas Financeiras</v>
      </c>
      <c r="C16" s="114">
        <f t="shared" si="11"/>
        <v>0</v>
      </c>
      <c r="D16" s="114">
        <f t="shared" si="11"/>
        <v>4175.93</v>
      </c>
      <c r="E16" s="114">
        <f t="shared" si="11"/>
        <v>0</v>
      </c>
      <c r="F16" s="114">
        <f t="shared" si="11"/>
        <v>165.27</v>
      </c>
      <c r="G16" s="114">
        <f t="shared" si="11"/>
        <v>216.2</v>
      </c>
      <c r="H16" s="114">
        <f t="shared" si="11"/>
        <v>420.27</v>
      </c>
      <c r="I16" s="114">
        <f t="shared" si="11"/>
        <v>-43.32</v>
      </c>
      <c r="J16" s="114">
        <f t="shared" si="11"/>
        <v>4334.47</v>
      </c>
      <c r="K16" s="114">
        <f t="shared" si="11"/>
        <v>0</v>
      </c>
      <c r="L16" s="114">
        <f t="shared" si="11"/>
        <v>0</v>
      </c>
      <c r="M16" s="114">
        <f t="shared" si="11"/>
        <v>0</v>
      </c>
      <c r="N16" s="114">
        <f t="shared" si="11"/>
        <v>0</v>
      </c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2">
        <f t="shared" si="4"/>
        <v>9268.82</v>
      </c>
      <c r="AB16" s="112">
        <f t="shared" si="5"/>
        <v>772.4016667</v>
      </c>
      <c r="AC16" s="81"/>
    </row>
    <row r="17">
      <c r="A17" s="76"/>
      <c r="B17" s="113" t="str">
        <f t="shared" ref="B17:N17" si="12">B115</f>
        <v>Cartões &amp; Wallets</v>
      </c>
      <c r="C17" s="114">
        <f t="shared" si="12"/>
        <v>277.65</v>
      </c>
      <c r="D17" s="114">
        <f t="shared" si="12"/>
        <v>8503.75</v>
      </c>
      <c r="E17" s="114">
        <f t="shared" si="12"/>
        <v>-1165.66</v>
      </c>
      <c r="F17" s="114">
        <f t="shared" si="12"/>
        <v>125.18</v>
      </c>
      <c r="G17" s="114">
        <f t="shared" si="12"/>
        <v>1293.47</v>
      </c>
      <c r="H17" s="114">
        <f t="shared" si="12"/>
        <v>249.34</v>
      </c>
      <c r="I17" s="114">
        <f t="shared" si="12"/>
        <v>0</v>
      </c>
      <c r="J17" s="114">
        <f t="shared" si="12"/>
        <v>906.79</v>
      </c>
      <c r="K17" s="114">
        <f t="shared" si="12"/>
        <v>0</v>
      </c>
      <c r="L17" s="114">
        <f t="shared" si="12"/>
        <v>0</v>
      </c>
      <c r="M17" s="114">
        <f t="shared" si="12"/>
        <v>0</v>
      </c>
      <c r="N17" s="114">
        <f t="shared" si="12"/>
        <v>0</v>
      </c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2">
        <f t="shared" si="4"/>
        <v>10190.52</v>
      </c>
      <c r="AB17" s="112">
        <f t="shared" si="5"/>
        <v>849.21</v>
      </c>
      <c r="AC17" s="81"/>
    </row>
    <row r="18">
      <c r="A18" s="76"/>
      <c r="B18" s="113" t="str">
        <f t="shared" ref="B18:N18" si="13">B125</f>
        <v>Roberto Individual</v>
      </c>
      <c r="C18" s="114">
        <f t="shared" si="13"/>
        <v>253.48</v>
      </c>
      <c r="D18" s="114">
        <f t="shared" si="13"/>
        <v>1500</v>
      </c>
      <c r="E18" s="114">
        <f t="shared" si="13"/>
        <v>222.41</v>
      </c>
      <c r="F18" s="114">
        <f t="shared" si="13"/>
        <v>0</v>
      </c>
      <c r="G18" s="114">
        <f t="shared" si="13"/>
        <v>274.89</v>
      </c>
      <c r="H18" s="114">
        <f t="shared" si="13"/>
        <v>0</v>
      </c>
      <c r="I18" s="114">
        <f t="shared" si="13"/>
        <v>133.75</v>
      </c>
      <c r="J18" s="114">
        <f t="shared" si="13"/>
        <v>3900</v>
      </c>
      <c r="K18" s="114">
        <f t="shared" si="13"/>
        <v>0</v>
      </c>
      <c r="L18" s="114">
        <f t="shared" si="13"/>
        <v>0</v>
      </c>
      <c r="M18" s="114">
        <f t="shared" si="13"/>
        <v>0</v>
      </c>
      <c r="N18" s="114">
        <f t="shared" si="13"/>
        <v>0</v>
      </c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2">
        <f t="shared" si="4"/>
        <v>6284.53</v>
      </c>
      <c r="AB18" s="112">
        <f t="shared" si="5"/>
        <v>523.7108333</v>
      </c>
      <c r="AC18" s="81"/>
    </row>
    <row r="19">
      <c r="A19" s="76"/>
      <c r="B19" s="113" t="str">
        <f t="shared" ref="B19:N19" si="14">B133</f>
        <v>Mariana Individual</v>
      </c>
      <c r="C19" s="114">
        <f t="shared" si="14"/>
        <v>0</v>
      </c>
      <c r="D19" s="114">
        <f t="shared" si="14"/>
        <v>748.14</v>
      </c>
      <c r="E19" s="114">
        <f t="shared" si="14"/>
        <v>782.14</v>
      </c>
      <c r="F19" s="114">
        <f t="shared" si="14"/>
        <v>8.5</v>
      </c>
      <c r="G19" s="114">
        <f t="shared" si="14"/>
        <v>187.88</v>
      </c>
      <c r="H19" s="114">
        <f t="shared" si="14"/>
        <v>82</v>
      </c>
      <c r="I19" s="114">
        <f t="shared" si="14"/>
        <v>169.28</v>
      </c>
      <c r="J19" s="114">
        <f t="shared" si="14"/>
        <v>2205.03</v>
      </c>
      <c r="K19" s="114">
        <f t="shared" si="14"/>
        <v>71.98</v>
      </c>
      <c r="L19" s="114">
        <f t="shared" si="14"/>
        <v>0</v>
      </c>
      <c r="M19" s="114">
        <f t="shared" si="14"/>
        <v>0</v>
      </c>
      <c r="N19" s="114">
        <f t="shared" si="14"/>
        <v>0</v>
      </c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2">
        <f t="shared" si="4"/>
        <v>4254.95</v>
      </c>
      <c r="AB19" s="112">
        <f t="shared" si="5"/>
        <v>354.5791667</v>
      </c>
      <c r="AC19" s="81"/>
    </row>
    <row r="20">
      <c r="A20" s="76"/>
      <c r="B20" s="113" t="str">
        <f t="shared" ref="B20:N20" si="15">B141</f>
        <v>Manuela Individual</v>
      </c>
      <c r="C20" s="114">
        <f t="shared" si="15"/>
        <v>0</v>
      </c>
      <c r="D20" s="114">
        <f t="shared" si="15"/>
        <v>0</v>
      </c>
      <c r="E20" s="114">
        <f t="shared" si="15"/>
        <v>219.49</v>
      </c>
      <c r="F20" s="114">
        <f t="shared" si="15"/>
        <v>0</v>
      </c>
      <c r="G20" s="114">
        <f t="shared" si="15"/>
        <v>130.5</v>
      </c>
      <c r="H20" s="114">
        <f t="shared" si="15"/>
        <v>0</v>
      </c>
      <c r="I20" s="114">
        <f t="shared" si="15"/>
        <v>39.96</v>
      </c>
      <c r="J20" s="114">
        <f t="shared" si="15"/>
        <v>4280</v>
      </c>
      <c r="K20" s="114">
        <f t="shared" si="15"/>
        <v>0</v>
      </c>
      <c r="L20" s="114">
        <f t="shared" si="15"/>
        <v>0</v>
      </c>
      <c r="M20" s="114">
        <f t="shared" si="15"/>
        <v>0</v>
      </c>
      <c r="N20" s="114">
        <f t="shared" si="15"/>
        <v>0</v>
      </c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2">
        <f t="shared" si="4"/>
        <v>4669.95</v>
      </c>
      <c r="AB20" s="112">
        <f t="shared" si="5"/>
        <v>389.1625</v>
      </c>
      <c r="AC20" s="81"/>
    </row>
    <row r="21">
      <c r="A21" s="76"/>
      <c r="B21" s="113" t="str">
        <f t="shared" ref="B21:N21" si="16">B149</f>
        <v>Despesas Extraordinárias</v>
      </c>
      <c r="C21" s="114">
        <f t="shared" si="16"/>
        <v>0</v>
      </c>
      <c r="D21" s="114">
        <f t="shared" si="16"/>
        <v>0</v>
      </c>
      <c r="E21" s="114">
        <f t="shared" si="16"/>
        <v>0</v>
      </c>
      <c r="F21" s="114">
        <f t="shared" si="16"/>
        <v>0</v>
      </c>
      <c r="G21" s="114">
        <f t="shared" si="16"/>
        <v>0</v>
      </c>
      <c r="H21" s="114">
        <f t="shared" si="16"/>
        <v>0</v>
      </c>
      <c r="I21" s="114">
        <f t="shared" si="16"/>
        <v>0</v>
      </c>
      <c r="J21" s="114">
        <f t="shared" si="16"/>
        <v>0</v>
      </c>
      <c r="K21" s="114">
        <f t="shared" si="16"/>
        <v>0</v>
      </c>
      <c r="L21" s="114">
        <f t="shared" si="16"/>
        <v>0</v>
      </c>
      <c r="M21" s="114">
        <f t="shared" si="16"/>
        <v>0</v>
      </c>
      <c r="N21" s="114">
        <f t="shared" si="16"/>
        <v>0</v>
      </c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2">
        <f t="shared" si="4"/>
        <v>0</v>
      </c>
      <c r="AB21" s="112">
        <f t="shared" si="5"/>
        <v>0</v>
      </c>
      <c r="AC21" s="81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 ht="15.0" customHeight="1">
      <c r="A23" s="71"/>
      <c r="B23" s="115" t="s">
        <v>54</v>
      </c>
      <c r="C23" s="116">
        <f t="shared" ref="C23:N23" si="17">SUM(C25:C39)</f>
        <v>629.06</v>
      </c>
      <c r="D23" s="116">
        <f t="shared" si="17"/>
        <v>4841.36</v>
      </c>
      <c r="E23" s="116">
        <f t="shared" si="17"/>
        <v>344.91</v>
      </c>
      <c r="F23" s="116">
        <f t="shared" si="17"/>
        <v>3500</v>
      </c>
      <c r="G23" s="116">
        <f t="shared" si="17"/>
        <v>538.59</v>
      </c>
      <c r="H23" s="116">
        <f t="shared" si="17"/>
        <v>4168.09</v>
      </c>
      <c r="I23" s="116">
        <f t="shared" si="17"/>
        <v>432.64</v>
      </c>
      <c r="J23" s="116">
        <f t="shared" si="17"/>
        <v>5689.22</v>
      </c>
      <c r="K23" s="116">
        <f t="shared" si="17"/>
        <v>76.23</v>
      </c>
      <c r="L23" s="116">
        <f t="shared" si="17"/>
        <v>0</v>
      </c>
      <c r="M23" s="116">
        <f t="shared" si="17"/>
        <v>76.23</v>
      </c>
      <c r="N23" s="116">
        <f t="shared" si="17"/>
        <v>0</v>
      </c>
      <c r="O23" s="116">
        <f>sum(O25:P39)</f>
        <v>0</v>
      </c>
      <c r="P23" s="103"/>
      <c r="Q23" s="116">
        <f>sum(Q25:R39)</f>
        <v>0</v>
      </c>
      <c r="R23" s="103"/>
      <c r="S23" s="116">
        <f>sum(S25:T39)</f>
        <v>0</v>
      </c>
      <c r="T23" s="103"/>
      <c r="U23" s="116">
        <f>sum(U25:V39)</f>
        <v>0</v>
      </c>
      <c r="V23" s="103"/>
      <c r="W23" s="116">
        <f>sum(W25:X39)</f>
        <v>0</v>
      </c>
      <c r="X23" s="103"/>
      <c r="Y23" s="116">
        <f>sum(Y25:Z39)</f>
        <v>0</v>
      </c>
      <c r="Z23" s="103"/>
      <c r="AA23" s="117">
        <f>SUM(AA25:AA39)</f>
        <v>19739.25</v>
      </c>
      <c r="AB23" s="117">
        <f>AVERAGE(AB25:AB30)</f>
        <v>1234.845556</v>
      </c>
      <c r="AC23" s="81"/>
    </row>
    <row r="24" ht="14.25" customHeight="1" outlineLevel="1">
      <c r="A24" s="71"/>
      <c r="B24" s="105" t="s">
        <v>50</v>
      </c>
      <c r="C24" s="106" t="s">
        <v>51</v>
      </c>
      <c r="D24" s="107" t="s">
        <v>52</v>
      </c>
      <c r="E24" s="106" t="s">
        <v>51</v>
      </c>
      <c r="F24" s="107" t="s">
        <v>52</v>
      </c>
      <c r="G24" s="106" t="s">
        <v>51</v>
      </c>
      <c r="H24" s="107" t="s">
        <v>52</v>
      </c>
      <c r="I24" s="106" t="s">
        <v>51</v>
      </c>
      <c r="J24" s="107" t="s">
        <v>52</v>
      </c>
      <c r="K24" s="106" t="s">
        <v>51</v>
      </c>
      <c r="L24" s="107" t="s">
        <v>52</v>
      </c>
      <c r="M24" s="106" t="s">
        <v>51</v>
      </c>
      <c r="N24" s="107" t="s">
        <v>52</v>
      </c>
      <c r="O24" s="106" t="s">
        <v>51</v>
      </c>
      <c r="P24" s="107" t="s">
        <v>52</v>
      </c>
      <c r="Q24" s="106" t="s">
        <v>51</v>
      </c>
      <c r="R24" s="107" t="s">
        <v>52</v>
      </c>
      <c r="S24" s="106" t="s">
        <v>51</v>
      </c>
      <c r="T24" s="107" t="s">
        <v>52</v>
      </c>
      <c r="U24" s="106" t="s">
        <v>51</v>
      </c>
      <c r="V24" s="107" t="s">
        <v>52</v>
      </c>
      <c r="W24" s="106" t="s">
        <v>51</v>
      </c>
      <c r="X24" s="107" t="s">
        <v>52</v>
      </c>
      <c r="Y24" s="106" t="s">
        <v>51</v>
      </c>
      <c r="Z24" s="107" t="s">
        <v>52</v>
      </c>
      <c r="AA24" s="108"/>
      <c r="AB24" s="108"/>
      <c r="AC24" s="74"/>
    </row>
    <row r="25" outlineLevel="1">
      <c r="A25" s="76"/>
      <c r="B25" s="118" t="s">
        <v>55</v>
      </c>
      <c r="C25" s="119"/>
      <c r="D25" s="119">
        <v>3500.0</v>
      </c>
      <c r="E25" s="119"/>
      <c r="F25" s="119">
        <v>3500.0</v>
      </c>
      <c r="G25" s="119"/>
      <c r="H25" s="119">
        <v>3500.0</v>
      </c>
      <c r="I25" s="119"/>
      <c r="J25" s="119">
        <v>3500.0</v>
      </c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20">
        <f t="shared" ref="AA25:AA31" si="18">SUM(C25:N25)</f>
        <v>14000</v>
      </c>
      <c r="AB25" s="120">
        <f t="shared" ref="AB25:AB31" si="19">AVERAGE(C25:AA25)</f>
        <v>5600</v>
      </c>
      <c r="AC25" s="81"/>
    </row>
    <row r="26" outlineLevel="1">
      <c r="A26" s="76"/>
      <c r="B26" s="118" t="s">
        <v>56</v>
      </c>
      <c r="C26" s="119"/>
      <c r="D26" s="119">
        <v>212.43</v>
      </c>
      <c r="E26" s="119"/>
      <c r="F26" s="119"/>
      <c r="G26" s="119"/>
      <c r="H26" s="119">
        <v>253.41</v>
      </c>
      <c r="I26" s="119"/>
      <c r="J26" s="119">
        <v>509.7</v>
      </c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20">
        <f t="shared" si="18"/>
        <v>975.54</v>
      </c>
      <c r="AB26" s="120">
        <f t="shared" si="19"/>
        <v>487.77</v>
      </c>
      <c r="AC26" s="81"/>
    </row>
    <row r="27" outlineLevel="1">
      <c r="A27" s="76"/>
      <c r="B27" s="121" t="s">
        <v>57</v>
      </c>
      <c r="C27" s="119"/>
      <c r="D27" s="119">
        <v>273.76</v>
      </c>
      <c r="E27" s="119"/>
      <c r="F27" s="119"/>
      <c r="G27" s="119"/>
      <c r="H27" s="119">
        <v>311.72</v>
      </c>
      <c r="I27" s="119"/>
      <c r="J27" s="119">
        <v>373.94</v>
      </c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20">
        <f t="shared" si="18"/>
        <v>959.42</v>
      </c>
      <c r="AB27" s="120">
        <f t="shared" si="19"/>
        <v>479.71</v>
      </c>
      <c r="AC27" s="81"/>
    </row>
    <row r="28" outlineLevel="1">
      <c r="A28" s="76"/>
      <c r="B28" s="121" t="s">
        <v>58</v>
      </c>
      <c r="C28" s="119"/>
      <c r="D28" s="119">
        <v>295.33</v>
      </c>
      <c r="E28" s="119"/>
      <c r="F28" s="119"/>
      <c r="G28" s="119">
        <v>309.0</v>
      </c>
      <c r="H28" s="119"/>
      <c r="I28" s="119"/>
      <c r="J28" s="119">
        <v>600.85</v>
      </c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20">
        <f t="shared" si="18"/>
        <v>1205.18</v>
      </c>
      <c r="AB28" s="120">
        <f t="shared" si="19"/>
        <v>602.59</v>
      </c>
      <c r="AC28" s="81"/>
    </row>
    <row r="29" outlineLevel="1">
      <c r="A29" s="76"/>
      <c r="B29" s="118" t="s">
        <v>59</v>
      </c>
      <c r="C29" s="119"/>
      <c r="D29" s="119"/>
      <c r="E29" s="119"/>
      <c r="F29" s="119"/>
      <c r="G29" s="119"/>
      <c r="H29" s="119"/>
      <c r="I29" s="119"/>
      <c r="J29" s="119">
        <v>115.0</v>
      </c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20">
        <f t="shared" si="18"/>
        <v>115</v>
      </c>
      <c r="AB29" s="120">
        <f t="shared" si="19"/>
        <v>115</v>
      </c>
      <c r="AC29" s="81"/>
    </row>
    <row r="30" outlineLevel="1">
      <c r="A30" s="76"/>
      <c r="B30" s="118" t="s">
        <v>60</v>
      </c>
      <c r="C30" s="119">
        <v>25.9</v>
      </c>
      <c r="D30" s="119">
        <v>48.0</v>
      </c>
      <c r="E30" s="119">
        <v>120.0</v>
      </c>
      <c r="F30" s="119"/>
      <c r="G30" s="119"/>
      <c r="H30" s="119"/>
      <c r="I30" s="119">
        <v>129.11</v>
      </c>
      <c r="J30" s="119">
        <v>49.0</v>
      </c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20">
        <f t="shared" si="18"/>
        <v>372.01</v>
      </c>
      <c r="AB30" s="120">
        <f t="shared" si="19"/>
        <v>124.0033333</v>
      </c>
      <c r="AC30" s="81"/>
    </row>
    <row r="31" outlineLevel="1">
      <c r="A31" s="76"/>
      <c r="B31" s="121" t="s">
        <v>61</v>
      </c>
      <c r="C31" s="119">
        <v>503.61</v>
      </c>
      <c r="D31" s="119">
        <v>511.84</v>
      </c>
      <c r="E31" s="119">
        <v>76.23</v>
      </c>
      <c r="F31" s="119"/>
      <c r="G31" s="122">
        <v>76.14</v>
      </c>
      <c r="H31" s="119">
        <v>102.96</v>
      </c>
      <c r="I31" s="119">
        <v>148.13</v>
      </c>
      <c r="J31" s="119">
        <v>540.73</v>
      </c>
      <c r="K31" s="119">
        <v>76.23</v>
      </c>
      <c r="L31" s="119"/>
      <c r="M31" s="119">
        <v>76.23</v>
      </c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20">
        <f t="shared" si="18"/>
        <v>2112.1</v>
      </c>
      <c r="AB31" s="120">
        <f t="shared" si="19"/>
        <v>422.42</v>
      </c>
      <c r="AC31" s="81"/>
    </row>
    <row r="32" outlineLevel="1">
      <c r="A32" s="76"/>
      <c r="B32" s="121" t="s">
        <v>62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20"/>
      <c r="AB32" s="120"/>
      <c r="AC32" s="81"/>
    </row>
    <row r="33" outlineLevel="1">
      <c r="A33" s="76"/>
      <c r="B33" s="121" t="s">
        <v>63</v>
      </c>
      <c r="C33" s="119">
        <v>18.9</v>
      </c>
      <c r="D33" s="119"/>
      <c r="E33" s="119">
        <v>18.9</v>
      </c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20"/>
      <c r="AB33" s="120">
        <f t="shared" ref="AB33:AB37" si="20">AVERAGE(C33:AA33)</f>
        <v>18.9</v>
      </c>
      <c r="AC33" s="81"/>
    </row>
    <row r="34" outlineLevel="1">
      <c r="A34" s="76"/>
      <c r="B34" s="121" t="s">
        <v>64</v>
      </c>
      <c r="C34" s="119">
        <v>40.9</v>
      </c>
      <c r="D34" s="119"/>
      <c r="E34" s="119">
        <v>40.9</v>
      </c>
      <c r="F34" s="119"/>
      <c r="G34" s="119">
        <v>40.9</v>
      </c>
      <c r="H34" s="119"/>
      <c r="I34" s="119">
        <v>40.9</v>
      </c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20"/>
      <c r="AB34" s="120">
        <f t="shared" si="20"/>
        <v>40.9</v>
      </c>
      <c r="AC34" s="81"/>
    </row>
    <row r="35" outlineLevel="1">
      <c r="A35" s="76"/>
      <c r="B35" s="121" t="s">
        <v>65</v>
      </c>
      <c r="C35" s="119">
        <v>13.9</v>
      </c>
      <c r="D35" s="119"/>
      <c r="E35" s="119">
        <v>13.9</v>
      </c>
      <c r="F35" s="119"/>
      <c r="G35" s="119">
        <v>13.9</v>
      </c>
      <c r="H35" s="119"/>
      <c r="I35" s="119">
        <v>13.9</v>
      </c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20"/>
      <c r="AB35" s="120">
        <f t="shared" si="20"/>
        <v>13.9</v>
      </c>
      <c r="AC35" s="81"/>
    </row>
    <row r="36" outlineLevel="1">
      <c r="A36" s="76"/>
      <c r="B36" s="121" t="s">
        <v>66</v>
      </c>
      <c r="C36" s="119">
        <v>19.9</v>
      </c>
      <c r="D36" s="119"/>
      <c r="E36" s="119">
        <v>69.03</v>
      </c>
      <c r="F36" s="119"/>
      <c r="G36" s="119">
        <v>92.7</v>
      </c>
      <c r="H36" s="119"/>
      <c r="I36" s="119">
        <v>88.7</v>
      </c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20"/>
      <c r="AB36" s="120">
        <f t="shared" si="20"/>
        <v>67.5825</v>
      </c>
      <c r="AC36" s="81"/>
    </row>
    <row r="37" outlineLevel="1">
      <c r="A37" s="76"/>
      <c r="B37" s="121" t="s">
        <v>67</v>
      </c>
      <c r="C37" s="119">
        <v>5.95</v>
      </c>
      <c r="D37" s="119"/>
      <c r="E37" s="119">
        <v>5.95</v>
      </c>
      <c r="F37" s="119"/>
      <c r="G37" s="119">
        <v>5.95</v>
      </c>
      <c r="H37" s="119"/>
      <c r="I37" s="119">
        <v>11.9</v>
      </c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20"/>
      <c r="AB37" s="120">
        <f t="shared" si="20"/>
        <v>7.4375</v>
      </c>
      <c r="AC37" s="81"/>
    </row>
    <row r="38" outlineLevel="1">
      <c r="A38" s="76"/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20"/>
      <c r="AB38" s="120"/>
      <c r="AC38" s="81"/>
    </row>
    <row r="39" outlineLevel="1">
      <c r="A39" s="76"/>
      <c r="B39" s="118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20">
        <f>SUM(C39:N39)</f>
        <v>0</v>
      </c>
      <c r="AB39" s="120">
        <f>AVERAGE(C39:AA39)</f>
        <v>0</v>
      </c>
      <c r="AC39" s="81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5"/>
      <c r="AB40" s="75"/>
      <c r="AC40" s="90"/>
    </row>
    <row r="41" ht="15.75" customHeight="1">
      <c r="A41" s="90"/>
      <c r="B41" s="115" t="s">
        <v>68</v>
      </c>
      <c r="C41" s="123">
        <f t="shared" ref="C41:N41" si="21">SUM(C43:C49)</f>
        <v>1887.85</v>
      </c>
      <c r="D41" s="123">
        <f t="shared" si="21"/>
        <v>1956.43</v>
      </c>
      <c r="E41" s="123">
        <f t="shared" si="21"/>
        <v>1855.14</v>
      </c>
      <c r="F41" s="123">
        <f t="shared" si="21"/>
        <v>703.13</v>
      </c>
      <c r="G41" s="123">
        <f t="shared" si="21"/>
        <v>2714.46</v>
      </c>
      <c r="H41" s="123">
        <f t="shared" si="21"/>
        <v>726.89</v>
      </c>
      <c r="I41" s="123">
        <f t="shared" si="21"/>
        <v>333.88</v>
      </c>
      <c r="J41" s="123">
        <f t="shared" si="21"/>
        <v>2611.43</v>
      </c>
      <c r="K41" s="123">
        <f t="shared" si="21"/>
        <v>0</v>
      </c>
      <c r="L41" s="123">
        <f t="shared" si="21"/>
        <v>0</v>
      </c>
      <c r="M41" s="123">
        <f t="shared" si="21"/>
        <v>0</v>
      </c>
      <c r="N41" s="123">
        <f t="shared" si="21"/>
        <v>0</v>
      </c>
      <c r="O41" s="123">
        <f>sum(O43:P49)</f>
        <v>0</v>
      </c>
      <c r="P41" s="103"/>
      <c r="Q41" s="123">
        <f>sum(Q43:R49)</f>
        <v>0</v>
      </c>
      <c r="R41" s="103"/>
      <c r="S41" s="123">
        <f>sum(S43:T49)</f>
        <v>0</v>
      </c>
      <c r="T41" s="103"/>
      <c r="U41" s="123">
        <f>sum(U43:V49)</f>
        <v>0</v>
      </c>
      <c r="V41" s="103"/>
      <c r="W41" s="123">
        <f>sum(W43:X49)</f>
        <v>0</v>
      </c>
      <c r="X41" s="103"/>
      <c r="Y41" s="123">
        <f>sum(Y43:Z49)</f>
        <v>0</v>
      </c>
      <c r="Z41" s="103"/>
      <c r="AA41" s="117">
        <f>SUM(AA43:AA48)</f>
        <v>12627.21</v>
      </c>
      <c r="AB41" s="117">
        <f>AVERAGE(AB43:AB48)</f>
        <v>551.5695741</v>
      </c>
      <c r="AC41" s="90"/>
    </row>
    <row r="42" ht="14.25" customHeight="1" outlineLevel="1">
      <c r="A42" s="71"/>
      <c r="B42" s="105" t="s">
        <v>50</v>
      </c>
      <c r="C42" s="106" t="s">
        <v>51</v>
      </c>
      <c r="D42" s="107" t="s">
        <v>52</v>
      </c>
      <c r="E42" s="106" t="s">
        <v>51</v>
      </c>
      <c r="F42" s="107" t="s">
        <v>52</v>
      </c>
      <c r="G42" s="106" t="s">
        <v>51</v>
      </c>
      <c r="H42" s="107" t="s">
        <v>52</v>
      </c>
      <c r="I42" s="106" t="s">
        <v>51</v>
      </c>
      <c r="J42" s="107" t="s">
        <v>52</v>
      </c>
      <c r="K42" s="106" t="s">
        <v>51</v>
      </c>
      <c r="L42" s="107" t="s">
        <v>52</v>
      </c>
      <c r="M42" s="106" t="s">
        <v>51</v>
      </c>
      <c r="N42" s="107" t="s">
        <v>52</v>
      </c>
      <c r="O42" s="106" t="s">
        <v>51</v>
      </c>
      <c r="P42" s="107" t="s">
        <v>52</v>
      </c>
      <c r="Q42" s="106" t="s">
        <v>51</v>
      </c>
      <c r="R42" s="107" t="s">
        <v>52</v>
      </c>
      <c r="S42" s="106" t="s">
        <v>51</v>
      </c>
      <c r="T42" s="107" t="s">
        <v>52</v>
      </c>
      <c r="U42" s="106" t="s">
        <v>51</v>
      </c>
      <c r="V42" s="107" t="s">
        <v>52</v>
      </c>
      <c r="W42" s="106" t="s">
        <v>51</v>
      </c>
      <c r="X42" s="107" t="s">
        <v>52</v>
      </c>
      <c r="Y42" s="106" t="s">
        <v>51</v>
      </c>
      <c r="Z42" s="107" t="s">
        <v>52</v>
      </c>
      <c r="AA42" s="108"/>
      <c r="AB42" s="108"/>
      <c r="AC42" s="74"/>
    </row>
    <row r="43" ht="15.75" customHeight="1" outlineLevel="1">
      <c r="A43" s="90"/>
      <c r="B43" s="118" t="s">
        <v>69</v>
      </c>
      <c r="C43" s="119">
        <v>1856.92</v>
      </c>
      <c r="D43" s="119">
        <v>1783.47</v>
      </c>
      <c r="E43" s="119">
        <v>1623.41</v>
      </c>
      <c r="F43" s="119">
        <v>164.1</v>
      </c>
      <c r="G43" s="119">
        <v>2349.54</v>
      </c>
      <c r="H43" s="119">
        <v>163.65</v>
      </c>
      <c r="I43" s="119">
        <v>284.43</v>
      </c>
      <c r="J43" s="119">
        <v>1569.2</v>
      </c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20">
        <f t="shared" ref="AA43:AA49" si="22">SUM(C43:N43)</f>
        <v>9794.72</v>
      </c>
      <c r="AB43" s="120">
        <f t="shared" ref="AB43:AB49" si="23">AVERAGE(C43:AA43)</f>
        <v>2176.604444</v>
      </c>
      <c r="AC43" s="90"/>
    </row>
    <row r="44" ht="15.75" customHeight="1" outlineLevel="1">
      <c r="A44" s="90"/>
      <c r="B44" s="118" t="s">
        <v>70</v>
      </c>
      <c r="C44" s="119"/>
      <c r="D44" s="119"/>
      <c r="E44" s="119"/>
      <c r="F44" s="119">
        <v>393.91</v>
      </c>
      <c r="G44" s="119">
        <v>235.01</v>
      </c>
      <c r="H44" s="119">
        <v>312.66</v>
      </c>
      <c r="I44" s="119"/>
      <c r="J44" s="119">
        <v>818.26</v>
      </c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20">
        <f t="shared" si="22"/>
        <v>1759.84</v>
      </c>
      <c r="AB44" s="120">
        <f t="shared" si="23"/>
        <v>703.936</v>
      </c>
      <c r="AC44" s="90"/>
    </row>
    <row r="45" ht="15.75" customHeight="1" outlineLevel="1">
      <c r="A45" s="90"/>
      <c r="B45" s="121" t="s">
        <v>71</v>
      </c>
      <c r="C45" s="119">
        <v>30.93</v>
      </c>
      <c r="D45" s="119">
        <v>45.29</v>
      </c>
      <c r="E45" s="119">
        <v>58.42</v>
      </c>
      <c r="F45" s="119">
        <v>5.69</v>
      </c>
      <c r="G45" s="119">
        <v>93.91</v>
      </c>
      <c r="H45" s="119">
        <v>22.22</v>
      </c>
      <c r="I45" s="119"/>
      <c r="J45" s="119">
        <v>31.88</v>
      </c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20">
        <f t="shared" si="22"/>
        <v>288.34</v>
      </c>
      <c r="AB45" s="120">
        <f t="shared" si="23"/>
        <v>72.085</v>
      </c>
      <c r="AC45" s="90"/>
    </row>
    <row r="46" ht="15.75" customHeight="1" outlineLevel="1">
      <c r="A46" s="90"/>
      <c r="B46" s="121" t="s">
        <v>72</v>
      </c>
      <c r="C46" s="119"/>
      <c r="D46" s="119"/>
      <c r="E46" s="119"/>
      <c r="F46" s="119">
        <v>121.43</v>
      </c>
      <c r="G46" s="119"/>
      <c r="H46" s="119">
        <v>210.36</v>
      </c>
      <c r="I46" s="119"/>
      <c r="J46" s="119">
        <v>98.89</v>
      </c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20">
        <f t="shared" si="22"/>
        <v>430.68</v>
      </c>
      <c r="AB46" s="120">
        <f t="shared" si="23"/>
        <v>215.34</v>
      </c>
      <c r="AC46" s="90"/>
    </row>
    <row r="47" ht="15.75" customHeight="1" outlineLevel="1">
      <c r="A47" s="90"/>
      <c r="B47" s="121" t="s">
        <v>73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20">
        <f t="shared" si="22"/>
        <v>0</v>
      </c>
      <c r="AB47" s="120">
        <f t="shared" si="23"/>
        <v>0</v>
      </c>
      <c r="AC47" s="90"/>
    </row>
    <row r="48" ht="15.75" customHeight="1" outlineLevel="1">
      <c r="A48" s="90"/>
      <c r="B48" s="121" t="s">
        <v>74</v>
      </c>
      <c r="C48" s="119"/>
      <c r="D48" s="119">
        <v>91.67</v>
      </c>
      <c r="E48" s="119">
        <v>155.31</v>
      </c>
      <c r="F48" s="119"/>
      <c r="G48" s="119"/>
      <c r="H48" s="119"/>
      <c r="I48" s="119">
        <v>49.45</v>
      </c>
      <c r="J48" s="119">
        <v>57.2</v>
      </c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20">
        <f t="shared" si="22"/>
        <v>353.63</v>
      </c>
      <c r="AB48" s="120">
        <f t="shared" si="23"/>
        <v>141.452</v>
      </c>
      <c r="AC48" s="90"/>
    </row>
    <row r="49" ht="15.75" customHeight="1" outlineLevel="1">
      <c r="A49" s="90"/>
      <c r="B49" s="121" t="s">
        <v>75</v>
      </c>
      <c r="C49" s="119"/>
      <c r="D49" s="119">
        <v>36.0</v>
      </c>
      <c r="E49" s="119">
        <v>18.0</v>
      </c>
      <c r="F49" s="119">
        <v>18.0</v>
      </c>
      <c r="G49" s="119">
        <v>36.0</v>
      </c>
      <c r="H49" s="119">
        <v>18.0</v>
      </c>
      <c r="I49" s="119"/>
      <c r="J49" s="119">
        <v>36.0</v>
      </c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20">
        <f t="shared" si="22"/>
        <v>162</v>
      </c>
      <c r="AB49" s="120">
        <f t="shared" si="23"/>
        <v>46.28571429</v>
      </c>
      <c r="AC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75"/>
      <c r="AB50" s="75"/>
      <c r="AC50" s="90"/>
    </row>
    <row r="51" ht="15.75" customHeight="1">
      <c r="A51" s="90"/>
      <c r="B51" s="124" t="s">
        <v>76</v>
      </c>
      <c r="C51" s="123">
        <f t="shared" ref="C51:N51" si="24">SUM(C53:C65)</f>
        <v>2633.63</v>
      </c>
      <c r="D51" s="123">
        <f t="shared" si="24"/>
        <v>267.81</v>
      </c>
      <c r="E51" s="123">
        <f t="shared" si="24"/>
        <v>2941.21</v>
      </c>
      <c r="F51" s="123">
        <f t="shared" si="24"/>
        <v>331.41</v>
      </c>
      <c r="G51" s="123">
        <f t="shared" si="24"/>
        <v>2788.85</v>
      </c>
      <c r="H51" s="123">
        <f t="shared" si="24"/>
        <v>465.39</v>
      </c>
      <c r="I51" s="123">
        <f t="shared" si="24"/>
        <v>2609.15</v>
      </c>
      <c r="J51" s="123">
        <f t="shared" si="24"/>
        <v>364.63</v>
      </c>
      <c r="K51" s="123">
        <f t="shared" si="24"/>
        <v>0</v>
      </c>
      <c r="L51" s="123">
        <f t="shared" si="24"/>
        <v>0</v>
      </c>
      <c r="M51" s="123">
        <f t="shared" si="24"/>
        <v>0</v>
      </c>
      <c r="N51" s="123">
        <f t="shared" si="24"/>
        <v>0</v>
      </c>
      <c r="O51" s="123">
        <f>sum(O53:P65)</f>
        <v>0</v>
      </c>
      <c r="P51" s="103"/>
      <c r="Q51" s="123">
        <f>sum(Q53:R65)</f>
        <v>0</v>
      </c>
      <c r="R51" s="103"/>
      <c r="S51" s="123">
        <f>sum(S53:T65)</f>
        <v>0</v>
      </c>
      <c r="T51" s="103"/>
      <c r="U51" s="123">
        <f>sum(U53:V65)</f>
        <v>0</v>
      </c>
      <c r="V51" s="103"/>
      <c r="W51" s="123">
        <f>sum(W53:X65)</f>
        <v>0</v>
      </c>
      <c r="X51" s="103"/>
      <c r="Y51" s="123">
        <f>sum(Y53:Z65)</f>
        <v>0</v>
      </c>
      <c r="Z51" s="103"/>
      <c r="AA51" s="117">
        <f>SUM(AA53:AA65)</f>
        <v>12402.08</v>
      </c>
      <c r="AB51" s="117">
        <f>AVERAGE(AB53:AB58)</f>
        <v>745.5383704</v>
      </c>
      <c r="AC51" s="90"/>
    </row>
    <row r="52" ht="14.25" customHeight="1" outlineLevel="1">
      <c r="A52" s="71"/>
      <c r="B52" s="105" t="s">
        <v>50</v>
      </c>
      <c r="C52" s="106" t="s">
        <v>51</v>
      </c>
      <c r="D52" s="107" t="s">
        <v>52</v>
      </c>
      <c r="E52" s="106" t="s">
        <v>51</v>
      </c>
      <c r="F52" s="107" t="s">
        <v>52</v>
      </c>
      <c r="G52" s="106" t="s">
        <v>51</v>
      </c>
      <c r="H52" s="107" t="s">
        <v>52</v>
      </c>
      <c r="I52" s="106" t="s">
        <v>51</v>
      </c>
      <c r="J52" s="107" t="s">
        <v>52</v>
      </c>
      <c r="K52" s="106" t="s">
        <v>51</v>
      </c>
      <c r="L52" s="107" t="s">
        <v>52</v>
      </c>
      <c r="M52" s="106" t="s">
        <v>51</v>
      </c>
      <c r="N52" s="107" t="s">
        <v>52</v>
      </c>
      <c r="O52" s="106" t="s">
        <v>51</v>
      </c>
      <c r="P52" s="107" t="s">
        <v>52</v>
      </c>
      <c r="Q52" s="106" t="s">
        <v>51</v>
      </c>
      <c r="R52" s="107" t="s">
        <v>52</v>
      </c>
      <c r="S52" s="106" t="s">
        <v>51</v>
      </c>
      <c r="T52" s="107" t="s">
        <v>52</v>
      </c>
      <c r="U52" s="106" t="s">
        <v>51</v>
      </c>
      <c r="V52" s="107" t="s">
        <v>52</v>
      </c>
      <c r="W52" s="106" t="s">
        <v>51</v>
      </c>
      <c r="X52" s="107" t="s">
        <v>52</v>
      </c>
      <c r="Y52" s="106" t="s">
        <v>51</v>
      </c>
      <c r="Z52" s="107" t="s">
        <v>52</v>
      </c>
      <c r="AA52" s="108"/>
      <c r="AB52" s="108"/>
      <c r="AC52" s="74"/>
    </row>
    <row r="53" ht="15.75" customHeight="1" outlineLevel="1">
      <c r="A53" s="90"/>
      <c r="B53" s="121" t="s">
        <v>55</v>
      </c>
      <c r="C53" s="119">
        <v>2439.58</v>
      </c>
      <c r="D53" s="119"/>
      <c r="E53" s="119">
        <v>2555.95</v>
      </c>
      <c r="F53" s="119"/>
      <c r="G53" s="119">
        <v>2368.8</v>
      </c>
      <c r="H53" s="119"/>
      <c r="I53" s="119">
        <v>2281.44</v>
      </c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20">
        <f t="shared" ref="AA53:AA65" si="25">SUM(C53:N53)</f>
        <v>9645.77</v>
      </c>
      <c r="AB53" s="120">
        <f t="shared" ref="AB53:AB65" si="26">AVERAGE(C53:AA53)</f>
        <v>3858.308</v>
      </c>
      <c r="AC53" s="90"/>
    </row>
    <row r="54" ht="15.75" customHeight="1" outlineLevel="1">
      <c r="A54" s="90"/>
      <c r="B54" s="118" t="s">
        <v>77</v>
      </c>
      <c r="C54" s="119">
        <v>194.05</v>
      </c>
      <c r="D54" s="119">
        <v>245.81</v>
      </c>
      <c r="E54" s="119">
        <v>316.94</v>
      </c>
      <c r="F54" s="119">
        <v>318.46</v>
      </c>
      <c r="G54" s="119">
        <v>420.05</v>
      </c>
      <c r="H54" s="119">
        <v>445.39</v>
      </c>
      <c r="I54" s="119">
        <v>287.71</v>
      </c>
      <c r="J54" s="119">
        <v>363.63</v>
      </c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20">
        <f t="shared" si="25"/>
        <v>2592.04</v>
      </c>
      <c r="AB54" s="120">
        <f t="shared" si="26"/>
        <v>576.0088889</v>
      </c>
      <c r="AC54" s="90"/>
    </row>
    <row r="55" ht="15.75" customHeight="1" outlineLevel="1">
      <c r="A55" s="90"/>
      <c r="B55" s="118" t="s">
        <v>78</v>
      </c>
      <c r="C55" s="119"/>
      <c r="D55" s="119">
        <v>1.0</v>
      </c>
      <c r="E55" s="119"/>
      <c r="F55" s="119"/>
      <c r="G55" s="119"/>
      <c r="H55" s="119"/>
      <c r="I55" s="119"/>
      <c r="J55" s="119">
        <v>1.0</v>
      </c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20">
        <f t="shared" si="25"/>
        <v>2</v>
      </c>
      <c r="AB55" s="120">
        <f t="shared" si="26"/>
        <v>1.333333333</v>
      </c>
      <c r="AC55" s="90"/>
    </row>
    <row r="56" ht="15.75" customHeight="1" outlineLevel="1">
      <c r="A56" s="90"/>
      <c r="B56" s="121" t="s">
        <v>79</v>
      </c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20">
        <f t="shared" si="25"/>
        <v>0</v>
      </c>
      <c r="AB56" s="120">
        <f t="shared" si="26"/>
        <v>0</v>
      </c>
      <c r="AC56" s="90"/>
    </row>
    <row r="57" ht="15.75" customHeight="1" outlineLevel="1">
      <c r="A57" s="90"/>
      <c r="B57" s="121" t="s">
        <v>80</v>
      </c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20">
        <f t="shared" si="25"/>
        <v>0</v>
      </c>
      <c r="AB57" s="120">
        <f t="shared" si="26"/>
        <v>0</v>
      </c>
      <c r="AC57" s="90"/>
    </row>
    <row r="58" ht="15.75" customHeight="1" outlineLevel="1">
      <c r="A58" s="90"/>
      <c r="B58" s="118" t="s">
        <v>81</v>
      </c>
      <c r="C58" s="119"/>
      <c r="D58" s="119">
        <v>21.0</v>
      </c>
      <c r="E58" s="119"/>
      <c r="F58" s="119">
        <v>12.95</v>
      </c>
      <c r="G58" s="119"/>
      <c r="H58" s="119">
        <v>20.0</v>
      </c>
      <c r="I58" s="119">
        <v>40.0</v>
      </c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20">
        <f t="shared" si="25"/>
        <v>93.95</v>
      </c>
      <c r="AB58" s="120">
        <f t="shared" si="26"/>
        <v>37.58</v>
      </c>
      <c r="AC58" s="90"/>
    </row>
    <row r="59" ht="15.75" customHeight="1" outlineLevel="1">
      <c r="A59" s="90"/>
      <c r="B59" s="121" t="s">
        <v>82</v>
      </c>
      <c r="C59" s="119"/>
      <c r="D59" s="119"/>
      <c r="E59" s="119">
        <v>68.32</v>
      </c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20">
        <f t="shared" si="25"/>
        <v>68.32</v>
      </c>
      <c r="AB59" s="120">
        <f t="shared" si="26"/>
        <v>68.32</v>
      </c>
      <c r="AC59" s="90"/>
    </row>
    <row r="60" ht="15.75" customHeight="1" outlineLevel="1">
      <c r="A60" s="90"/>
      <c r="B60" s="121" t="s">
        <v>83</v>
      </c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20">
        <f t="shared" si="25"/>
        <v>0</v>
      </c>
      <c r="AB60" s="120">
        <f t="shared" si="26"/>
        <v>0</v>
      </c>
      <c r="AC60" s="90"/>
    </row>
    <row r="61" ht="15.75" customHeight="1" outlineLevel="1">
      <c r="A61" s="90"/>
      <c r="B61" s="121" t="s">
        <v>84</v>
      </c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20">
        <f t="shared" si="25"/>
        <v>0</v>
      </c>
      <c r="AB61" s="120">
        <f t="shared" si="26"/>
        <v>0</v>
      </c>
      <c r="AC61" s="90"/>
    </row>
    <row r="62" ht="15.75" customHeight="1" outlineLevel="1">
      <c r="A62" s="90"/>
      <c r="B62" s="121" t="s">
        <v>85</v>
      </c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20">
        <f t="shared" si="25"/>
        <v>0</v>
      </c>
      <c r="AB62" s="120">
        <f t="shared" si="26"/>
        <v>0</v>
      </c>
      <c r="AC62" s="90"/>
    </row>
    <row r="63" ht="15.75" customHeight="1" outlineLevel="1">
      <c r="A63" s="90"/>
      <c r="B63" s="121" t="s">
        <v>86</v>
      </c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20">
        <f t="shared" si="25"/>
        <v>0</v>
      </c>
      <c r="AB63" s="120">
        <f t="shared" si="26"/>
        <v>0</v>
      </c>
      <c r="AC63" s="90"/>
    </row>
    <row r="64" ht="15.75" customHeight="1" outlineLevel="1">
      <c r="A64" s="90"/>
      <c r="B64" s="121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20">
        <f t="shared" si="25"/>
        <v>0</v>
      </c>
      <c r="AB64" s="120">
        <f t="shared" si="26"/>
        <v>0</v>
      </c>
      <c r="AC64" s="90"/>
    </row>
    <row r="65" ht="15.75" customHeight="1" outlineLevel="1">
      <c r="A65" s="90"/>
      <c r="B65" s="118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20">
        <f t="shared" si="25"/>
        <v>0</v>
      </c>
      <c r="AB65" s="120">
        <f t="shared" si="26"/>
        <v>0</v>
      </c>
      <c r="AC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5"/>
      <c r="AB66" s="75"/>
      <c r="AC66" s="90"/>
    </row>
    <row r="67" ht="15.75" customHeight="1">
      <c r="A67" s="90"/>
      <c r="B67" s="115" t="s">
        <v>87</v>
      </c>
      <c r="C67" s="123">
        <f t="shared" ref="C67:N67" si="27">SUM(C69:C74)</f>
        <v>0</v>
      </c>
      <c r="D67" s="123">
        <f t="shared" si="27"/>
        <v>531.38</v>
      </c>
      <c r="E67" s="123">
        <f t="shared" si="27"/>
        <v>89.91</v>
      </c>
      <c r="F67" s="123">
        <f t="shared" si="27"/>
        <v>25.58</v>
      </c>
      <c r="G67" s="123">
        <f t="shared" si="27"/>
        <v>173.1</v>
      </c>
      <c r="H67" s="123">
        <f t="shared" si="27"/>
        <v>0</v>
      </c>
      <c r="I67" s="123">
        <f t="shared" si="27"/>
        <v>310.65</v>
      </c>
      <c r="J67" s="123">
        <f t="shared" si="27"/>
        <v>34.54</v>
      </c>
      <c r="K67" s="123">
        <f t="shared" si="27"/>
        <v>0</v>
      </c>
      <c r="L67" s="123">
        <f t="shared" si="27"/>
        <v>0</v>
      </c>
      <c r="M67" s="123">
        <f t="shared" si="27"/>
        <v>0</v>
      </c>
      <c r="N67" s="123">
        <f t="shared" si="27"/>
        <v>0</v>
      </c>
      <c r="O67" s="123">
        <f>sum(O69:P74)</f>
        <v>0</v>
      </c>
      <c r="P67" s="103"/>
      <c r="Q67" s="123">
        <f>sum(Q69:R74)</f>
        <v>0</v>
      </c>
      <c r="R67" s="103"/>
      <c r="S67" s="123">
        <f>sum(S69:T74)</f>
        <v>0</v>
      </c>
      <c r="T67" s="103"/>
      <c r="U67" s="123">
        <f>sum(U69:V74)</f>
        <v>0</v>
      </c>
      <c r="V67" s="103"/>
      <c r="W67" s="123">
        <f>sum(W69:X74)</f>
        <v>0</v>
      </c>
      <c r="X67" s="103"/>
      <c r="Y67" s="123">
        <f>sum(Y69:Z74)</f>
        <v>0</v>
      </c>
      <c r="Z67" s="103"/>
      <c r="AA67" s="117">
        <f>SUM(AA69:AA74)</f>
        <v>1165.16</v>
      </c>
      <c r="AB67" s="117">
        <f>AVERAGE(AB69:AB74)</f>
        <v>123.0635714</v>
      </c>
      <c r="AC67" s="90"/>
    </row>
    <row r="68" ht="14.25" customHeight="1" outlineLevel="1">
      <c r="A68" s="71"/>
      <c r="B68" s="105" t="s">
        <v>50</v>
      </c>
      <c r="C68" s="106" t="s">
        <v>51</v>
      </c>
      <c r="D68" s="107" t="s">
        <v>52</v>
      </c>
      <c r="E68" s="106" t="s">
        <v>51</v>
      </c>
      <c r="F68" s="107" t="s">
        <v>52</v>
      </c>
      <c r="G68" s="106" t="s">
        <v>51</v>
      </c>
      <c r="H68" s="107" t="s">
        <v>52</v>
      </c>
      <c r="I68" s="106" t="s">
        <v>51</v>
      </c>
      <c r="J68" s="107" t="s">
        <v>52</v>
      </c>
      <c r="K68" s="106" t="s">
        <v>51</v>
      </c>
      <c r="L68" s="107" t="s">
        <v>52</v>
      </c>
      <c r="M68" s="106" t="s">
        <v>51</v>
      </c>
      <c r="N68" s="107" t="s">
        <v>52</v>
      </c>
      <c r="O68" s="106" t="s">
        <v>51</v>
      </c>
      <c r="P68" s="107" t="s">
        <v>52</v>
      </c>
      <c r="Q68" s="106" t="s">
        <v>51</v>
      </c>
      <c r="R68" s="107" t="s">
        <v>52</v>
      </c>
      <c r="S68" s="106" t="s">
        <v>51</v>
      </c>
      <c r="T68" s="107" t="s">
        <v>52</v>
      </c>
      <c r="U68" s="106" t="s">
        <v>51</v>
      </c>
      <c r="V68" s="107" t="s">
        <v>52</v>
      </c>
      <c r="W68" s="106" t="s">
        <v>51</v>
      </c>
      <c r="X68" s="107" t="s">
        <v>52</v>
      </c>
      <c r="Y68" s="106" t="s">
        <v>51</v>
      </c>
      <c r="Z68" s="107" t="s">
        <v>52</v>
      </c>
      <c r="AA68" s="108"/>
      <c r="AB68" s="108"/>
      <c r="AC68" s="74"/>
    </row>
    <row r="69" ht="15.75" customHeight="1" outlineLevel="1">
      <c r="A69" s="90"/>
      <c r="B69" s="118" t="s">
        <v>88</v>
      </c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20">
        <f t="shared" ref="AA69:AA74" si="28">SUM(C69:N69)</f>
        <v>0</v>
      </c>
      <c r="AB69" s="120">
        <f t="shared" ref="AB69:AB74" si="29">AVERAGE(C69:AA69)</f>
        <v>0</v>
      </c>
      <c r="AC69" s="90"/>
    </row>
    <row r="70" ht="15.75" customHeight="1" outlineLevel="1">
      <c r="A70" s="90"/>
      <c r="B70" s="118" t="s">
        <v>89</v>
      </c>
      <c r="C70" s="119"/>
      <c r="D70" s="119">
        <v>50.38</v>
      </c>
      <c r="E70" s="119">
        <v>21.59</v>
      </c>
      <c r="F70" s="119">
        <v>25.58</v>
      </c>
      <c r="G70" s="119">
        <v>104.8</v>
      </c>
      <c r="H70" s="119"/>
      <c r="I70" s="119">
        <v>158.37</v>
      </c>
      <c r="J70" s="119">
        <v>34.54</v>
      </c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20">
        <f t="shared" si="28"/>
        <v>395.26</v>
      </c>
      <c r="AB70" s="120">
        <f t="shared" si="29"/>
        <v>112.9314286</v>
      </c>
      <c r="AC70" s="90"/>
    </row>
    <row r="71" ht="15.75" customHeight="1" outlineLevel="1">
      <c r="A71" s="90"/>
      <c r="B71" s="118" t="s">
        <v>90</v>
      </c>
      <c r="C71" s="119"/>
      <c r="D71" s="119"/>
      <c r="E71" s="119">
        <v>68.32</v>
      </c>
      <c r="F71" s="119"/>
      <c r="G71" s="122">
        <v>68.3</v>
      </c>
      <c r="H71" s="119"/>
      <c r="I71" s="119">
        <v>152.28</v>
      </c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0">
        <f t="shared" si="28"/>
        <v>288.9</v>
      </c>
      <c r="AB71" s="120">
        <f t="shared" si="29"/>
        <v>144.45</v>
      </c>
      <c r="AC71" s="90"/>
    </row>
    <row r="72" ht="15.75" customHeight="1" outlineLevel="1">
      <c r="A72" s="90"/>
      <c r="B72" s="118" t="s">
        <v>91</v>
      </c>
      <c r="C72" s="119"/>
      <c r="D72" s="119">
        <v>481.0</v>
      </c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20">
        <f t="shared" si="28"/>
        <v>481</v>
      </c>
      <c r="AB72" s="120">
        <f t="shared" si="29"/>
        <v>481</v>
      </c>
      <c r="AC72" s="90"/>
    </row>
    <row r="73" ht="15.75" customHeight="1" outlineLevel="1">
      <c r="A73" s="90"/>
      <c r="B73" s="118" t="s">
        <v>92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20">
        <f t="shared" si="28"/>
        <v>0</v>
      </c>
      <c r="AB73" s="120">
        <f t="shared" si="29"/>
        <v>0</v>
      </c>
      <c r="AC73" s="90"/>
    </row>
    <row r="74" ht="15.75" customHeight="1" outlineLevel="1">
      <c r="A74" s="90"/>
      <c r="B74" s="118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20">
        <f t="shared" si="28"/>
        <v>0</v>
      </c>
      <c r="AB74" s="120">
        <f t="shared" si="29"/>
        <v>0</v>
      </c>
      <c r="AC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75"/>
      <c r="AB75" s="75"/>
      <c r="AC75" s="90"/>
    </row>
    <row r="76" ht="15.0" customHeight="1">
      <c r="A76" s="125"/>
      <c r="B76" s="115" t="s">
        <v>93</v>
      </c>
      <c r="C76" s="123">
        <f t="shared" ref="C76:N76" si="30">SUM(C78:C85)</f>
        <v>1794.11</v>
      </c>
      <c r="D76" s="123">
        <f t="shared" si="30"/>
        <v>1100.84</v>
      </c>
      <c r="E76" s="123">
        <f t="shared" si="30"/>
        <v>2174.74</v>
      </c>
      <c r="F76" s="123">
        <f t="shared" si="30"/>
        <v>503.58</v>
      </c>
      <c r="G76" s="123">
        <f t="shared" si="30"/>
        <v>794.74</v>
      </c>
      <c r="H76" s="123">
        <f t="shared" si="30"/>
        <v>895.55</v>
      </c>
      <c r="I76" s="123">
        <f t="shared" si="30"/>
        <v>2062.39</v>
      </c>
      <c r="J76" s="123">
        <f t="shared" si="30"/>
        <v>3048.33</v>
      </c>
      <c r="K76" s="123">
        <f t="shared" si="30"/>
        <v>125</v>
      </c>
      <c r="L76" s="123">
        <f t="shared" si="30"/>
        <v>0</v>
      </c>
      <c r="M76" s="123">
        <f t="shared" si="30"/>
        <v>0</v>
      </c>
      <c r="N76" s="123">
        <f t="shared" si="30"/>
        <v>0</v>
      </c>
      <c r="O76" s="123">
        <f>sum(O78:P85)</f>
        <v>0</v>
      </c>
      <c r="P76" s="103"/>
      <c r="Q76" s="123">
        <f>sum(Q78:R85)</f>
        <v>0</v>
      </c>
      <c r="R76" s="103"/>
      <c r="S76" s="123">
        <f>sum(S78:T85)</f>
        <v>0</v>
      </c>
      <c r="T76" s="103"/>
      <c r="U76" s="123">
        <f>sum(U78:V85)</f>
        <v>0</v>
      </c>
      <c r="V76" s="103"/>
      <c r="W76" s="123">
        <f>sum(W78:X85)</f>
        <v>0</v>
      </c>
      <c r="X76" s="103"/>
      <c r="Y76" s="123">
        <f>sum(Y78:Z85)</f>
        <v>0</v>
      </c>
      <c r="Z76" s="103"/>
      <c r="AA76" s="117">
        <f>SUM(AA78:AA85)</f>
        <v>12499.28</v>
      </c>
      <c r="AB76" s="117">
        <f>AVERAGE(AB78:AB83)</f>
        <v>377.9656944</v>
      </c>
      <c r="AC76" s="126"/>
    </row>
    <row r="77" ht="14.25" customHeight="1" outlineLevel="1">
      <c r="A77" s="71"/>
      <c r="B77" s="105" t="s">
        <v>50</v>
      </c>
      <c r="C77" s="106" t="s">
        <v>51</v>
      </c>
      <c r="D77" s="107" t="s">
        <v>52</v>
      </c>
      <c r="E77" s="106" t="s">
        <v>51</v>
      </c>
      <c r="F77" s="107" t="s">
        <v>52</v>
      </c>
      <c r="G77" s="106" t="s">
        <v>51</v>
      </c>
      <c r="H77" s="107" t="s">
        <v>52</v>
      </c>
      <c r="I77" s="106" t="s">
        <v>51</v>
      </c>
      <c r="J77" s="107" t="s">
        <v>52</v>
      </c>
      <c r="K77" s="106" t="s">
        <v>51</v>
      </c>
      <c r="L77" s="107" t="s">
        <v>52</v>
      </c>
      <c r="M77" s="106" t="s">
        <v>51</v>
      </c>
      <c r="N77" s="107" t="s">
        <v>52</v>
      </c>
      <c r="O77" s="106" t="s">
        <v>51</v>
      </c>
      <c r="P77" s="107" t="s">
        <v>52</v>
      </c>
      <c r="Q77" s="106" t="s">
        <v>51</v>
      </c>
      <c r="R77" s="107" t="s">
        <v>52</v>
      </c>
      <c r="S77" s="106" t="s">
        <v>51</v>
      </c>
      <c r="T77" s="107" t="s">
        <v>52</v>
      </c>
      <c r="U77" s="106" t="s">
        <v>51</v>
      </c>
      <c r="V77" s="107" t="s">
        <v>52</v>
      </c>
      <c r="W77" s="106" t="s">
        <v>51</v>
      </c>
      <c r="X77" s="107" t="s">
        <v>52</v>
      </c>
      <c r="Y77" s="106" t="s">
        <v>51</v>
      </c>
      <c r="Z77" s="107" t="s">
        <v>52</v>
      </c>
      <c r="AA77" s="108"/>
      <c r="AB77" s="108"/>
      <c r="AC77" s="74"/>
    </row>
    <row r="78" ht="15.75" customHeight="1" outlineLevel="1">
      <c r="A78" s="125"/>
      <c r="B78" s="118" t="s">
        <v>94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20">
        <f t="shared" ref="AA78:AA85" si="31">SUM(C78:N78)</f>
        <v>0</v>
      </c>
      <c r="AB78" s="120">
        <f t="shared" ref="AB78:AB85" si="32">AVERAGE(C78:AA78)</f>
        <v>0</v>
      </c>
      <c r="AC78" s="126"/>
    </row>
    <row r="79" ht="15.75" customHeight="1" outlineLevel="1">
      <c r="A79" s="125"/>
      <c r="B79" s="118" t="s">
        <v>95</v>
      </c>
      <c r="C79" s="119"/>
      <c r="D79" s="119"/>
      <c r="E79" s="119"/>
      <c r="F79" s="119"/>
      <c r="G79" s="119"/>
      <c r="H79" s="119"/>
      <c r="I79" s="119">
        <v>385.0</v>
      </c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20">
        <f t="shared" si="31"/>
        <v>385</v>
      </c>
      <c r="AB79" s="120">
        <f t="shared" si="32"/>
        <v>385</v>
      </c>
      <c r="AC79" s="126"/>
    </row>
    <row r="80" ht="15.75" customHeight="1" outlineLevel="1">
      <c r="A80" s="125"/>
      <c r="B80" s="118" t="s">
        <v>96</v>
      </c>
      <c r="C80" s="119">
        <v>244.97</v>
      </c>
      <c r="D80" s="119">
        <v>189.97</v>
      </c>
      <c r="E80" s="119">
        <v>125.0</v>
      </c>
      <c r="F80" s="119"/>
      <c r="G80" s="122">
        <v>125.0</v>
      </c>
      <c r="H80" s="119"/>
      <c r="I80" s="119">
        <v>268.4</v>
      </c>
      <c r="J80" s="119">
        <v>133.85</v>
      </c>
      <c r="K80" s="119">
        <v>125.0</v>
      </c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20">
        <f t="shared" si="31"/>
        <v>1212.19</v>
      </c>
      <c r="AB80" s="120">
        <f t="shared" si="32"/>
        <v>303.0475</v>
      </c>
      <c r="AC80" s="126"/>
    </row>
    <row r="81" ht="15.75" customHeight="1" outlineLevel="1">
      <c r="A81" s="125"/>
      <c r="B81" s="118" t="s">
        <v>97</v>
      </c>
      <c r="C81" s="119">
        <v>1078.57</v>
      </c>
      <c r="D81" s="119"/>
      <c r="E81" s="119">
        <v>858.68</v>
      </c>
      <c r="F81" s="119"/>
      <c r="G81" s="122">
        <v>251.19</v>
      </c>
      <c r="H81" s="119"/>
      <c r="I81" s="119">
        <v>550.8</v>
      </c>
      <c r="J81" s="119">
        <v>2000.0</v>
      </c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20">
        <f t="shared" si="31"/>
        <v>4739.24</v>
      </c>
      <c r="AB81" s="120">
        <f t="shared" si="32"/>
        <v>1579.746667</v>
      </c>
      <c r="AC81" s="126"/>
    </row>
    <row r="82" ht="15.75" customHeight="1" outlineLevel="1">
      <c r="A82" s="125"/>
      <c r="B82" s="118" t="s">
        <v>98</v>
      </c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20">
        <f t="shared" si="31"/>
        <v>0</v>
      </c>
      <c r="AB82" s="120">
        <f t="shared" si="32"/>
        <v>0</v>
      </c>
      <c r="AC82" s="126"/>
    </row>
    <row r="83" ht="15.75" customHeight="1" outlineLevel="1">
      <c r="A83" s="125"/>
      <c r="B83" s="118" t="s">
        <v>99</v>
      </c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20">
        <f t="shared" si="31"/>
        <v>0</v>
      </c>
      <c r="AB83" s="120">
        <f t="shared" si="32"/>
        <v>0</v>
      </c>
      <c r="AC83" s="126"/>
    </row>
    <row r="84" ht="15.75" customHeight="1" outlineLevel="1">
      <c r="A84" s="125"/>
      <c r="B84" s="118" t="s">
        <v>100</v>
      </c>
      <c r="C84" s="119">
        <v>164.49</v>
      </c>
      <c r="D84" s="119">
        <v>588.0</v>
      </c>
      <c r="E84" s="119">
        <v>726.27</v>
      </c>
      <c r="F84" s="119">
        <v>393.5</v>
      </c>
      <c r="G84" s="119">
        <v>308.98</v>
      </c>
      <c r="H84" s="119">
        <v>630.95</v>
      </c>
      <c r="I84" s="119">
        <v>634.25</v>
      </c>
      <c r="J84" s="119">
        <v>783.0</v>
      </c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20">
        <f t="shared" si="31"/>
        <v>4229.44</v>
      </c>
      <c r="AB84" s="120">
        <f t="shared" si="32"/>
        <v>939.8755556</v>
      </c>
      <c r="AC84" s="126"/>
    </row>
    <row r="85" ht="15.75" customHeight="1" outlineLevel="1">
      <c r="A85" s="125"/>
      <c r="B85" s="121" t="s">
        <v>101</v>
      </c>
      <c r="C85" s="119">
        <v>306.08</v>
      </c>
      <c r="D85" s="119">
        <v>322.87</v>
      </c>
      <c r="E85" s="119">
        <v>464.79</v>
      </c>
      <c r="F85" s="119">
        <v>110.08</v>
      </c>
      <c r="G85" s="119">
        <v>109.57</v>
      </c>
      <c r="H85" s="119">
        <v>264.6</v>
      </c>
      <c r="I85" s="119">
        <v>223.94</v>
      </c>
      <c r="J85" s="119">
        <v>131.48</v>
      </c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20">
        <f t="shared" si="31"/>
        <v>1933.41</v>
      </c>
      <c r="AB85" s="120">
        <f t="shared" si="32"/>
        <v>429.6466667</v>
      </c>
      <c r="AC85" s="126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75"/>
      <c r="AB86" s="75"/>
      <c r="AC86" s="90"/>
    </row>
    <row r="87" ht="15.0" customHeight="1">
      <c r="A87" s="125"/>
      <c r="B87" s="115" t="s">
        <v>102</v>
      </c>
      <c r="C87" s="123">
        <f t="shared" ref="C87:N87" si="33">SUM(C89:C93)</f>
        <v>205</v>
      </c>
      <c r="D87" s="123">
        <f t="shared" si="33"/>
        <v>84.89</v>
      </c>
      <c r="E87" s="123">
        <f t="shared" si="33"/>
        <v>389.85</v>
      </c>
      <c r="F87" s="123">
        <f t="shared" si="33"/>
        <v>0</v>
      </c>
      <c r="G87" s="123">
        <f t="shared" si="33"/>
        <v>723.25</v>
      </c>
      <c r="H87" s="123">
        <f t="shared" si="33"/>
        <v>0</v>
      </c>
      <c r="I87" s="123">
        <f t="shared" si="33"/>
        <v>696.29</v>
      </c>
      <c r="J87" s="123">
        <f t="shared" si="33"/>
        <v>0</v>
      </c>
      <c r="K87" s="123">
        <f t="shared" si="33"/>
        <v>0</v>
      </c>
      <c r="L87" s="123">
        <f t="shared" si="33"/>
        <v>0</v>
      </c>
      <c r="M87" s="123">
        <f t="shared" si="33"/>
        <v>0</v>
      </c>
      <c r="N87" s="123">
        <f t="shared" si="33"/>
        <v>0</v>
      </c>
      <c r="O87" s="123">
        <f>sum(O89:P93)</f>
        <v>0</v>
      </c>
      <c r="P87" s="103"/>
      <c r="Q87" s="123">
        <f>sum(Q89:R93)</f>
        <v>0</v>
      </c>
      <c r="R87" s="103"/>
      <c r="S87" s="123">
        <f>sum(S89:T93)</f>
        <v>0</v>
      </c>
      <c r="T87" s="103"/>
      <c r="U87" s="123">
        <f>sum(U89:V93)</f>
        <v>0</v>
      </c>
      <c r="V87" s="103"/>
      <c r="W87" s="123">
        <f>sum(W89:X93)</f>
        <v>0</v>
      </c>
      <c r="X87" s="103"/>
      <c r="Y87" s="123">
        <f>sum(Y89:Z93)</f>
        <v>0</v>
      </c>
      <c r="Z87" s="103"/>
      <c r="AA87" s="117">
        <f>SUM(AA89:AA93)</f>
        <v>2099.28</v>
      </c>
      <c r="AB87" s="117">
        <f>AVERAGE(AB89:AB94)</f>
        <v>219.3504</v>
      </c>
      <c r="AC87" s="126"/>
    </row>
    <row r="88" ht="14.25" customHeight="1" outlineLevel="1">
      <c r="A88" s="71"/>
      <c r="B88" s="105" t="s">
        <v>50</v>
      </c>
      <c r="C88" s="106" t="s">
        <v>51</v>
      </c>
      <c r="D88" s="107" t="s">
        <v>52</v>
      </c>
      <c r="E88" s="106" t="s">
        <v>51</v>
      </c>
      <c r="F88" s="107" t="s">
        <v>52</v>
      </c>
      <c r="G88" s="106" t="s">
        <v>51</v>
      </c>
      <c r="H88" s="107" t="s">
        <v>52</v>
      </c>
      <c r="I88" s="106" t="s">
        <v>51</v>
      </c>
      <c r="J88" s="107" t="s">
        <v>52</v>
      </c>
      <c r="K88" s="106" t="s">
        <v>51</v>
      </c>
      <c r="L88" s="107" t="s">
        <v>52</v>
      </c>
      <c r="M88" s="106" t="s">
        <v>51</v>
      </c>
      <c r="N88" s="107" t="s">
        <v>52</v>
      </c>
      <c r="O88" s="106" t="s">
        <v>51</v>
      </c>
      <c r="P88" s="107" t="s">
        <v>52</v>
      </c>
      <c r="Q88" s="106" t="s">
        <v>51</v>
      </c>
      <c r="R88" s="107" t="s">
        <v>52</v>
      </c>
      <c r="S88" s="106" t="s">
        <v>51</v>
      </c>
      <c r="T88" s="107" t="s">
        <v>52</v>
      </c>
      <c r="U88" s="106" t="s">
        <v>51</v>
      </c>
      <c r="V88" s="107" t="s">
        <v>52</v>
      </c>
      <c r="W88" s="106" t="s">
        <v>51</v>
      </c>
      <c r="X88" s="107" t="s">
        <v>52</v>
      </c>
      <c r="Y88" s="106" t="s">
        <v>51</v>
      </c>
      <c r="Z88" s="107" t="s">
        <v>52</v>
      </c>
      <c r="AA88" s="108"/>
      <c r="AB88" s="108"/>
      <c r="AC88" s="74"/>
    </row>
    <row r="89" ht="15.75" customHeight="1" outlineLevel="1">
      <c r="A89" s="125"/>
      <c r="B89" s="118" t="s">
        <v>103</v>
      </c>
      <c r="C89" s="119"/>
      <c r="D89" s="119"/>
      <c r="E89" s="119">
        <v>116.95</v>
      </c>
      <c r="F89" s="119"/>
      <c r="G89" s="122">
        <v>116.95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20">
        <f t="shared" ref="AA89:AA93" si="34">SUM(C89:N89)</f>
        <v>233.9</v>
      </c>
      <c r="AB89" s="120">
        <f t="shared" ref="AB89:AB93" si="35">AVERAGE(C89:AA89)</f>
        <v>155.9333333</v>
      </c>
      <c r="AC89" s="126"/>
    </row>
    <row r="90" ht="15.75" customHeight="1" outlineLevel="1">
      <c r="A90" s="125"/>
      <c r="B90" s="118" t="s">
        <v>104</v>
      </c>
      <c r="C90" s="119">
        <v>205.0</v>
      </c>
      <c r="D90" s="119"/>
      <c r="E90" s="119">
        <v>205.0</v>
      </c>
      <c r="F90" s="119"/>
      <c r="G90" s="119">
        <v>184.5</v>
      </c>
      <c r="H90" s="119"/>
      <c r="I90" s="119">
        <v>184.5</v>
      </c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20">
        <f t="shared" si="34"/>
        <v>779</v>
      </c>
      <c r="AB90" s="120">
        <f t="shared" si="35"/>
        <v>311.6</v>
      </c>
      <c r="AC90" s="126"/>
    </row>
    <row r="91" ht="15.75" customHeight="1" outlineLevel="1">
      <c r="A91" s="125"/>
      <c r="B91" s="118" t="s">
        <v>105</v>
      </c>
      <c r="C91" s="119"/>
      <c r="D91" s="119"/>
      <c r="E91" s="119"/>
      <c r="F91" s="119"/>
      <c r="G91" s="119">
        <v>365.0</v>
      </c>
      <c r="H91" s="119"/>
      <c r="I91" s="119">
        <v>365.0</v>
      </c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20">
        <f t="shared" si="34"/>
        <v>730</v>
      </c>
      <c r="AB91" s="120">
        <f t="shared" si="35"/>
        <v>486.6666667</v>
      </c>
      <c r="AC91" s="126"/>
    </row>
    <row r="92" ht="15.75" customHeight="1" outlineLevel="1">
      <c r="A92" s="125"/>
      <c r="B92" s="118" t="s">
        <v>106</v>
      </c>
      <c r="C92" s="119"/>
      <c r="D92" s="119">
        <v>84.89</v>
      </c>
      <c r="E92" s="119">
        <v>67.9</v>
      </c>
      <c r="F92" s="119"/>
      <c r="G92" s="119">
        <v>56.8</v>
      </c>
      <c r="H92" s="119"/>
      <c r="I92" s="119">
        <v>146.79</v>
      </c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20">
        <f t="shared" si="34"/>
        <v>356.38</v>
      </c>
      <c r="AB92" s="120">
        <f t="shared" si="35"/>
        <v>142.552</v>
      </c>
      <c r="AC92" s="126"/>
    </row>
    <row r="93" ht="15.75" customHeight="1" outlineLevel="1">
      <c r="A93" s="125"/>
      <c r="B93" s="118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20">
        <f t="shared" si="34"/>
        <v>0</v>
      </c>
      <c r="AB93" s="120">
        <f t="shared" si="35"/>
        <v>0</v>
      </c>
      <c r="AC93" s="126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75"/>
      <c r="AB94" s="75"/>
      <c r="AC94" s="90"/>
    </row>
    <row r="95" ht="15.0" customHeight="1">
      <c r="A95" s="125"/>
      <c r="B95" s="115" t="s">
        <v>107</v>
      </c>
      <c r="C95" s="123">
        <f t="shared" ref="C95:N95" si="36">SUM(C97:C101)</f>
        <v>1201.4</v>
      </c>
      <c r="D95" s="123">
        <f t="shared" si="36"/>
        <v>608.84</v>
      </c>
      <c r="E95" s="123">
        <f t="shared" si="36"/>
        <v>740.39</v>
      </c>
      <c r="F95" s="123">
        <f t="shared" si="36"/>
        <v>336.75</v>
      </c>
      <c r="G95" s="123">
        <f t="shared" si="36"/>
        <v>681.91</v>
      </c>
      <c r="H95" s="123">
        <f t="shared" si="36"/>
        <v>173.77</v>
      </c>
      <c r="I95" s="123">
        <f t="shared" si="36"/>
        <v>1140.73</v>
      </c>
      <c r="J95" s="123">
        <f t="shared" si="36"/>
        <v>1496.91</v>
      </c>
      <c r="K95" s="123">
        <f t="shared" si="36"/>
        <v>0</v>
      </c>
      <c r="L95" s="123">
        <f t="shared" si="36"/>
        <v>0</v>
      </c>
      <c r="M95" s="123">
        <f t="shared" si="36"/>
        <v>0</v>
      </c>
      <c r="N95" s="123">
        <f t="shared" si="36"/>
        <v>0</v>
      </c>
      <c r="O95" s="123">
        <f>sum(O97:P101)</f>
        <v>0</v>
      </c>
      <c r="P95" s="103"/>
      <c r="Q95" s="123">
        <f>sum(Q97:R101)</f>
        <v>0</v>
      </c>
      <c r="R95" s="103"/>
      <c r="S95" s="123">
        <f>sum(S97:T101)</f>
        <v>0</v>
      </c>
      <c r="T95" s="103"/>
      <c r="U95" s="123">
        <f>sum(U97:V101)</f>
        <v>0</v>
      </c>
      <c r="V95" s="103"/>
      <c r="W95" s="123">
        <f>sum(W97:X101)</f>
        <v>0</v>
      </c>
      <c r="X95" s="103"/>
      <c r="Y95" s="123">
        <f>sum(Y97:Z101)</f>
        <v>0</v>
      </c>
      <c r="Z95" s="103"/>
      <c r="AA95" s="117">
        <f>SUM(AA97:AA101)</f>
        <v>6380.7</v>
      </c>
      <c r="AB95" s="117">
        <f>AVERAGE(AB97:AB102)</f>
        <v>349.2449016</v>
      </c>
      <c r="AC95" s="126"/>
    </row>
    <row r="96" ht="14.25" customHeight="1" outlineLevel="1">
      <c r="A96" s="71"/>
      <c r="B96" s="105" t="s">
        <v>50</v>
      </c>
      <c r="C96" s="106" t="s">
        <v>51</v>
      </c>
      <c r="D96" s="107" t="s">
        <v>52</v>
      </c>
      <c r="E96" s="106" t="s">
        <v>51</v>
      </c>
      <c r="F96" s="107" t="s">
        <v>52</v>
      </c>
      <c r="G96" s="106" t="s">
        <v>51</v>
      </c>
      <c r="H96" s="107" t="s">
        <v>52</v>
      </c>
      <c r="I96" s="106" t="s">
        <v>51</v>
      </c>
      <c r="J96" s="107" t="s">
        <v>52</v>
      </c>
      <c r="K96" s="106" t="s">
        <v>51</v>
      </c>
      <c r="L96" s="107" t="s">
        <v>52</v>
      </c>
      <c r="M96" s="106" t="s">
        <v>51</v>
      </c>
      <c r="N96" s="107" t="s">
        <v>52</v>
      </c>
      <c r="O96" s="106" t="s">
        <v>51</v>
      </c>
      <c r="P96" s="107" t="s">
        <v>52</v>
      </c>
      <c r="Q96" s="106" t="s">
        <v>51</v>
      </c>
      <c r="R96" s="107" t="s">
        <v>52</v>
      </c>
      <c r="S96" s="106" t="s">
        <v>51</v>
      </c>
      <c r="T96" s="107" t="s">
        <v>52</v>
      </c>
      <c r="U96" s="106" t="s">
        <v>51</v>
      </c>
      <c r="V96" s="107" t="s">
        <v>52</v>
      </c>
      <c r="W96" s="106" t="s">
        <v>51</v>
      </c>
      <c r="X96" s="107" t="s">
        <v>52</v>
      </c>
      <c r="Y96" s="106" t="s">
        <v>51</v>
      </c>
      <c r="Z96" s="107" t="s">
        <v>52</v>
      </c>
      <c r="AA96" s="108"/>
      <c r="AB96" s="108"/>
      <c r="AC96" s="74"/>
    </row>
    <row r="97" ht="15.75" customHeight="1" outlineLevel="1">
      <c r="A97" s="125"/>
      <c r="B97" s="118" t="s">
        <v>108</v>
      </c>
      <c r="C97" s="119">
        <v>607.31</v>
      </c>
      <c r="D97" s="119">
        <v>467.69</v>
      </c>
      <c r="E97" s="119">
        <v>604.01</v>
      </c>
      <c r="F97" s="119">
        <v>336.75</v>
      </c>
      <c r="G97" s="119">
        <v>540.67</v>
      </c>
      <c r="H97" s="119">
        <v>173.77</v>
      </c>
      <c r="I97" s="119">
        <v>1115.23</v>
      </c>
      <c r="J97" s="119">
        <v>1414.21</v>
      </c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20">
        <f t="shared" ref="AA97:AA101" si="37">SUM(C97:N97)</f>
        <v>5259.64</v>
      </c>
      <c r="AB97" s="120">
        <f t="shared" ref="AB97:AB101" si="38">AVERAGE(C97:AA97)</f>
        <v>1168.808889</v>
      </c>
      <c r="AC97" s="126"/>
    </row>
    <row r="98" ht="15.75" customHeight="1" outlineLevel="1">
      <c r="A98" s="125"/>
      <c r="B98" s="118" t="s">
        <v>109</v>
      </c>
      <c r="C98" s="119">
        <v>28.0</v>
      </c>
      <c r="D98" s="119">
        <v>20.0</v>
      </c>
      <c r="E98" s="119">
        <v>98.4</v>
      </c>
      <c r="F98" s="119"/>
      <c r="G98" s="122">
        <v>68.4</v>
      </c>
      <c r="H98" s="119"/>
      <c r="I98" s="119">
        <v>7.5</v>
      </c>
      <c r="J98" s="119">
        <v>11.9</v>
      </c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20">
        <f t="shared" si="37"/>
        <v>234.2</v>
      </c>
      <c r="AB98" s="120">
        <f t="shared" si="38"/>
        <v>66.91428571</v>
      </c>
      <c r="AC98" s="126"/>
    </row>
    <row r="99" ht="15.75" customHeight="1" outlineLevel="1">
      <c r="A99" s="125"/>
      <c r="B99" s="118" t="s">
        <v>110</v>
      </c>
      <c r="C99" s="119"/>
      <c r="D99" s="119">
        <v>121.15</v>
      </c>
      <c r="E99" s="119">
        <v>37.98</v>
      </c>
      <c r="F99" s="119"/>
      <c r="G99" s="119">
        <v>72.84</v>
      </c>
      <c r="H99" s="119"/>
      <c r="I99" s="119"/>
      <c r="J99" s="119">
        <v>70.8</v>
      </c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20">
        <f t="shared" si="37"/>
        <v>302.77</v>
      </c>
      <c r="AB99" s="120">
        <f t="shared" si="38"/>
        <v>121.108</v>
      </c>
      <c r="AC99" s="126"/>
    </row>
    <row r="100" ht="15.75" customHeight="1" outlineLevel="1">
      <c r="A100" s="125"/>
      <c r="B100" s="118" t="s">
        <v>111</v>
      </c>
      <c r="C100" s="119">
        <v>566.09</v>
      </c>
      <c r="D100" s="119"/>
      <c r="E100" s="119"/>
      <c r="F100" s="119"/>
      <c r="G100" s="119"/>
      <c r="H100" s="119"/>
      <c r="I100" s="119">
        <v>18.0</v>
      </c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20">
        <f t="shared" si="37"/>
        <v>584.09</v>
      </c>
      <c r="AB100" s="120">
        <f t="shared" si="38"/>
        <v>389.3933333</v>
      </c>
      <c r="AC100" s="126"/>
    </row>
    <row r="101" ht="15.75" customHeight="1" outlineLevel="1">
      <c r="A101" s="125"/>
      <c r="B101" s="118"/>
      <c r="C101" s="119" t="str">
        <f t="shared" ref="C101:N101" si="39">B101</f>
        <v/>
      </c>
      <c r="D101" s="119" t="str">
        <f t="shared" si="39"/>
        <v/>
      </c>
      <c r="E101" s="119" t="str">
        <f t="shared" si="39"/>
        <v/>
      </c>
      <c r="F101" s="119" t="str">
        <f t="shared" si="39"/>
        <v/>
      </c>
      <c r="G101" s="119" t="str">
        <f t="shared" si="39"/>
        <v/>
      </c>
      <c r="H101" s="119" t="str">
        <f t="shared" si="39"/>
        <v/>
      </c>
      <c r="I101" s="119" t="str">
        <f t="shared" si="39"/>
        <v/>
      </c>
      <c r="J101" s="119" t="str">
        <f t="shared" si="39"/>
        <v/>
      </c>
      <c r="K101" s="119" t="str">
        <f t="shared" si="39"/>
        <v/>
      </c>
      <c r="L101" s="119" t="str">
        <f t="shared" si="39"/>
        <v/>
      </c>
      <c r="M101" s="119" t="str">
        <f t="shared" si="39"/>
        <v/>
      </c>
      <c r="N101" s="119" t="str">
        <f t="shared" si="39"/>
        <v/>
      </c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20">
        <f t="shared" si="37"/>
        <v>0</v>
      </c>
      <c r="AB101" s="120">
        <f t="shared" si="38"/>
        <v>0</v>
      </c>
      <c r="AC101" s="126"/>
    </row>
    <row r="102" ht="15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75"/>
      <c r="AB102" s="75"/>
      <c r="AC102" s="90"/>
    </row>
    <row r="103" ht="15.0" customHeight="1">
      <c r="A103" s="125"/>
      <c r="B103" s="115" t="s">
        <v>112</v>
      </c>
      <c r="C103" s="123">
        <f t="shared" ref="C103:N103" si="40">SUM(C105:C113)</f>
        <v>0</v>
      </c>
      <c r="D103" s="123">
        <f t="shared" si="40"/>
        <v>4175.93</v>
      </c>
      <c r="E103" s="123">
        <f t="shared" si="40"/>
        <v>0</v>
      </c>
      <c r="F103" s="123">
        <f t="shared" si="40"/>
        <v>165.27</v>
      </c>
      <c r="G103" s="123">
        <f t="shared" si="40"/>
        <v>216.2</v>
      </c>
      <c r="H103" s="123">
        <f t="shared" si="40"/>
        <v>420.27</v>
      </c>
      <c r="I103" s="123">
        <f t="shared" si="40"/>
        <v>-43.32</v>
      </c>
      <c r="J103" s="123">
        <f t="shared" si="40"/>
        <v>4334.47</v>
      </c>
      <c r="K103" s="123">
        <f t="shared" si="40"/>
        <v>0</v>
      </c>
      <c r="L103" s="123">
        <f t="shared" si="40"/>
        <v>0</v>
      </c>
      <c r="M103" s="123">
        <f t="shared" si="40"/>
        <v>0</v>
      </c>
      <c r="N103" s="123">
        <f t="shared" si="40"/>
        <v>0</v>
      </c>
      <c r="O103" s="123">
        <f>sum(O105:P113)</f>
        <v>0</v>
      </c>
      <c r="P103" s="103"/>
      <c r="Q103" s="123">
        <f>sum(Q105:R113)</f>
        <v>0</v>
      </c>
      <c r="R103" s="103"/>
      <c r="S103" s="123">
        <f>sum(S105:T113)</f>
        <v>0</v>
      </c>
      <c r="T103" s="103"/>
      <c r="U103" s="123">
        <f>sum(U105:V113)</f>
        <v>0</v>
      </c>
      <c r="V103" s="103"/>
      <c r="W103" s="123">
        <f>sum(W105:X113)</f>
        <v>0</v>
      </c>
      <c r="X103" s="103"/>
      <c r="Y103" s="123">
        <f>sum(Y105:Z113)</f>
        <v>0</v>
      </c>
      <c r="Z103" s="103"/>
      <c r="AA103" s="117">
        <f>SUM(AA105:AA113)</f>
        <v>6697.48</v>
      </c>
      <c r="AB103" s="117">
        <f>AVERAGE(AB105:AB113)</f>
        <v>427.1490741</v>
      </c>
      <c r="AC103" s="126"/>
    </row>
    <row r="104" ht="14.25" customHeight="1" outlineLevel="1">
      <c r="A104" s="71"/>
      <c r="B104" s="105" t="s">
        <v>50</v>
      </c>
      <c r="C104" s="106" t="s">
        <v>51</v>
      </c>
      <c r="D104" s="107" t="s">
        <v>52</v>
      </c>
      <c r="E104" s="106" t="s">
        <v>51</v>
      </c>
      <c r="F104" s="107" t="s">
        <v>52</v>
      </c>
      <c r="G104" s="106" t="s">
        <v>51</v>
      </c>
      <c r="H104" s="107" t="s">
        <v>52</v>
      </c>
      <c r="I104" s="106" t="s">
        <v>51</v>
      </c>
      <c r="J104" s="107" t="s">
        <v>52</v>
      </c>
      <c r="K104" s="106" t="s">
        <v>51</v>
      </c>
      <c r="L104" s="107" t="s">
        <v>52</v>
      </c>
      <c r="M104" s="106" t="s">
        <v>51</v>
      </c>
      <c r="N104" s="107" t="s">
        <v>52</v>
      </c>
      <c r="O104" s="106" t="s">
        <v>51</v>
      </c>
      <c r="P104" s="107" t="s">
        <v>52</v>
      </c>
      <c r="Q104" s="106" t="s">
        <v>51</v>
      </c>
      <c r="R104" s="107" t="s">
        <v>52</v>
      </c>
      <c r="S104" s="106" t="s">
        <v>51</v>
      </c>
      <c r="T104" s="107" t="s">
        <v>52</v>
      </c>
      <c r="U104" s="106" t="s">
        <v>51</v>
      </c>
      <c r="V104" s="107" t="s">
        <v>52</v>
      </c>
      <c r="W104" s="106" t="s">
        <v>51</v>
      </c>
      <c r="X104" s="107" t="s">
        <v>52</v>
      </c>
      <c r="Y104" s="106" t="s">
        <v>51</v>
      </c>
      <c r="Z104" s="107" t="s">
        <v>52</v>
      </c>
      <c r="AA104" s="108"/>
      <c r="AB104" s="108"/>
      <c r="AC104" s="74"/>
    </row>
    <row r="105" ht="15.75" customHeight="1" outlineLevel="1">
      <c r="A105" s="125"/>
      <c r="B105" s="118" t="s">
        <v>113</v>
      </c>
      <c r="C105" s="119"/>
      <c r="D105" s="119">
        <v>2000.95</v>
      </c>
      <c r="E105" s="119"/>
      <c r="F105" s="119">
        <v>79.5</v>
      </c>
      <c r="G105" s="119">
        <v>198.84</v>
      </c>
      <c r="H105" s="119">
        <v>159.75</v>
      </c>
      <c r="I105" s="119"/>
      <c r="J105" s="119">
        <v>141.0</v>
      </c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20">
        <f t="shared" ref="AA105:AA111" si="41">SUM(C105:N105)</f>
        <v>2580.04</v>
      </c>
      <c r="AB105" s="120">
        <f t="shared" ref="AB105:AB113" si="42">AVERAGE(C105:AA105)</f>
        <v>860.0133333</v>
      </c>
      <c r="AC105" s="126"/>
    </row>
    <row r="106" ht="15.75" customHeight="1" outlineLevel="1">
      <c r="A106" s="125"/>
      <c r="B106" s="118" t="s">
        <v>114</v>
      </c>
      <c r="C106" s="119"/>
      <c r="D106" s="119"/>
      <c r="E106" s="119"/>
      <c r="F106" s="119">
        <v>72.78</v>
      </c>
      <c r="G106" s="119"/>
      <c r="H106" s="119"/>
      <c r="I106" s="119">
        <v>-43.32</v>
      </c>
      <c r="J106" s="119">
        <v>26.5</v>
      </c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20">
        <f t="shared" si="41"/>
        <v>55.96</v>
      </c>
      <c r="AB106" s="120">
        <f t="shared" si="42"/>
        <v>27.98</v>
      </c>
      <c r="AC106" s="126"/>
    </row>
    <row r="107" ht="15.75" customHeight="1" outlineLevel="1">
      <c r="A107" s="125"/>
      <c r="B107" s="118" t="s">
        <v>115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20">
        <f t="shared" si="41"/>
        <v>0</v>
      </c>
      <c r="AB107" s="120">
        <f t="shared" si="42"/>
        <v>0</v>
      </c>
      <c r="AC107" s="126"/>
    </row>
    <row r="108" ht="15.75" customHeight="1" outlineLevel="1">
      <c r="A108" s="125"/>
      <c r="B108" s="118" t="s">
        <v>116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20">
        <f t="shared" si="41"/>
        <v>0</v>
      </c>
      <c r="AB108" s="120">
        <f t="shared" si="42"/>
        <v>0</v>
      </c>
      <c r="AC108" s="126"/>
    </row>
    <row r="109" ht="15.75" customHeight="1" outlineLevel="1">
      <c r="A109" s="125"/>
      <c r="B109" s="118" t="s">
        <v>117</v>
      </c>
      <c r="C109" s="119"/>
      <c r="D109" s="119">
        <v>124.0</v>
      </c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20">
        <f t="shared" si="41"/>
        <v>124</v>
      </c>
      <c r="AB109" s="120">
        <f t="shared" si="42"/>
        <v>124</v>
      </c>
      <c r="AC109" s="126"/>
    </row>
    <row r="110" ht="15.75" customHeight="1" outlineLevel="1">
      <c r="A110" s="125"/>
      <c r="B110" s="118" t="s">
        <v>118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20">
        <f t="shared" si="41"/>
        <v>0</v>
      </c>
      <c r="AB110" s="120">
        <f t="shared" si="42"/>
        <v>0</v>
      </c>
      <c r="AC110" s="126"/>
    </row>
    <row r="111" ht="15.75" customHeight="1" outlineLevel="1">
      <c r="A111" s="125"/>
      <c r="B111" s="118" t="s">
        <v>119</v>
      </c>
      <c r="C111" s="119"/>
      <c r="D111" s="119"/>
      <c r="E111" s="119"/>
      <c r="F111" s="119">
        <v>12.99</v>
      </c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20">
        <f t="shared" si="41"/>
        <v>12.99</v>
      </c>
      <c r="AB111" s="120">
        <f t="shared" si="42"/>
        <v>12.99</v>
      </c>
      <c r="AC111" s="126"/>
    </row>
    <row r="112" ht="15.75" customHeight="1" outlineLevel="1">
      <c r="A112" s="125"/>
      <c r="B112" s="121" t="s">
        <v>120</v>
      </c>
      <c r="C112" s="119"/>
      <c r="D112" s="119">
        <v>684.0</v>
      </c>
      <c r="E112" s="119"/>
      <c r="F112" s="119"/>
      <c r="G112" s="119"/>
      <c r="H112" s="119">
        <v>260.52</v>
      </c>
      <c r="I112" s="119"/>
      <c r="J112" s="119">
        <v>1626.82</v>
      </c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20"/>
      <c r="AB112" s="120">
        <f t="shared" si="42"/>
        <v>857.1133333</v>
      </c>
      <c r="AC112" s="126"/>
    </row>
    <row r="113" ht="15.75" customHeight="1" outlineLevel="1">
      <c r="A113" s="125"/>
      <c r="B113" s="121" t="s">
        <v>121</v>
      </c>
      <c r="C113" s="119"/>
      <c r="D113" s="119">
        <v>1366.98</v>
      </c>
      <c r="E113" s="119"/>
      <c r="F113" s="119"/>
      <c r="G113" s="119">
        <v>17.36</v>
      </c>
      <c r="H113" s="119"/>
      <c r="I113" s="119"/>
      <c r="J113" s="119">
        <v>2540.15</v>
      </c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20">
        <f>SUM(C113:N113)</f>
        <v>3924.49</v>
      </c>
      <c r="AB113" s="120">
        <f t="shared" si="42"/>
        <v>1962.245</v>
      </c>
      <c r="AC113" s="126"/>
    </row>
    <row r="114" ht="15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75"/>
      <c r="AB114" s="75"/>
      <c r="AC114" s="90"/>
    </row>
    <row r="115" ht="15.0" customHeight="1">
      <c r="A115" s="125"/>
      <c r="B115" s="124" t="s">
        <v>122</v>
      </c>
      <c r="C115" s="123">
        <f t="shared" ref="C115:N115" si="43">SUM(C117:C123)</f>
        <v>277.65</v>
      </c>
      <c r="D115" s="123">
        <f t="shared" si="43"/>
        <v>8503.75</v>
      </c>
      <c r="E115" s="123">
        <f t="shared" si="43"/>
        <v>-1165.66</v>
      </c>
      <c r="F115" s="123">
        <f t="shared" si="43"/>
        <v>125.18</v>
      </c>
      <c r="G115" s="123">
        <f t="shared" si="43"/>
        <v>1293.47</v>
      </c>
      <c r="H115" s="123">
        <f t="shared" si="43"/>
        <v>249.34</v>
      </c>
      <c r="I115" s="123">
        <f t="shared" si="43"/>
        <v>0</v>
      </c>
      <c r="J115" s="123">
        <f t="shared" si="43"/>
        <v>906.79</v>
      </c>
      <c r="K115" s="123">
        <f t="shared" si="43"/>
        <v>0</v>
      </c>
      <c r="L115" s="123">
        <f t="shared" si="43"/>
        <v>0</v>
      </c>
      <c r="M115" s="123">
        <f t="shared" si="43"/>
        <v>0</v>
      </c>
      <c r="N115" s="123">
        <f t="shared" si="43"/>
        <v>0</v>
      </c>
      <c r="O115" s="123">
        <f>sum(O117:P123)</f>
        <v>0</v>
      </c>
      <c r="P115" s="103"/>
      <c r="Q115" s="123">
        <f>sum(Q117:R123)</f>
        <v>0</v>
      </c>
      <c r="R115" s="103"/>
      <c r="S115" s="123">
        <f>sum(S117:T123)</f>
        <v>0</v>
      </c>
      <c r="T115" s="103"/>
      <c r="U115" s="123">
        <f>sum(U117:V123)</f>
        <v>0</v>
      </c>
      <c r="V115" s="103"/>
      <c r="W115" s="123">
        <f>sum(W117:X123)</f>
        <v>0</v>
      </c>
      <c r="X115" s="103"/>
      <c r="Y115" s="123">
        <f>sum(Y117:Z123)</f>
        <v>0</v>
      </c>
      <c r="Z115" s="103"/>
      <c r="AA115" s="117">
        <f>SUM(AA117:AA123)</f>
        <v>10190.52</v>
      </c>
      <c r="AB115" s="117">
        <f>AVERAGE(AB117:AB124)</f>
        <v>967.5325</v>
      </c>
      <c r="AC115" s="126"/>
    </row>
    <row r="116" ht="14.25" customHeight="1" outlineLevel="1">
      <c r="A116" s="71"/>
      <c r="B116" s="105" t="s">
        <v>50</v>
      </c>
      <c r="C116" s="106" t="s">
        <v>51</v>
      </c>
      <c r="D116" s="107" t="s">
        <v>52</v>
      </c>
      <c r="E116" s="106" t="s">
        <v>51</v>
      </c>
      <c r="F116" s="107" t="s">
        <v>52</v>
      </c>
      <c r="G116" s="106" t="s">
        <v>51</v>
      </c>
      <c r="H116" s="107" t="s">
        <v>52</v>
      </c>
      <c r="I116" s="106" t="s">
        <v>51</v>
      </c>
      <c r="J116" s="107" t="s">
        <v>52</v>
      </c>
      <c r="K116" s="106" t="s">
        <v>51</v>
      </c>
      <c r="L116" s="107" t="s">
        <v>52</v>
      </c>
      <c r="M116" s="106" t="s">
        <v>51</v>
      </c>
      <c r="N116" s="107" t="s">
        <v>52</v>
      </c>
      <c r="O116" s="106" t="s">
        <v>51</v>
      </c>
      <c r="P116" s="107" t="s">
        <v>52</v>
      </c>
      <c r="Q116" s="106" t="s">
        <v>51</v>
      </c>
      <c r="R116" s="107" t="s">
        <v>52</v>
      </c>
      <c r="S116" s="106" t="s">
        <v>51</v>
      </c>
      <c r="T116" s="107" t="s">
        <v>52</v>
      </c>
      <c r="U116" s="106" t="s">
        <v>51</v>
      </c>
      <c r="V116" s="107" t="s">
        <v>52</v>
      </c>
      <c r="W116" s="106" t="s">
        <v>51</v>
      </c>
      <c r="X116" s="107" t="s">
        <v>52</v>
      </c>
      <c r="Y116" s="106" t="s">
        <v>51</v>
      </c>
      <c r="Z116" s="107" t="s">
        <v>52</v>
      </c>
      <c r="AA116" s="108"/>
      <c r="AB116" s="108"/>
      <c r="AC116" s="74"/>
    </row>
    <row r="117" ht="15.75" customHeight="1" outlineLevel="1">
      <c r="A117" s="125"/>
      <c r="B117" s="118" t="s">
        <v>123</v>
      </c>
      <c r="C117" s="119"/>
      <c r="D117" s="119">
        <v>4567.01</v>
      </c>
      <c r="E117" s="119">
        <v>-1229.57</v>
      </c>
      <c r="F117" s="119"/>
      <c r="G117" s="119">
        <v>1229.57</v>
      </c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20">
        <f t="shared" ref="AA117:AA123" si="44">SUM(C117:N117)</f>
        <v>4567.01</v>
      </c>
      <c r="AB117" s="120">
        <f t="shared" ref="AB117:AB123" si="45">AVERAGE(C117:AA117)</f>
        <v>2283.505</v>
      </c>
      <c r="AC117" s="126"/>
    </row>
    <row r="118" ht="15.75" customHeight="1" outlineLevel="1">
      <c r="A118" s="125"/>
      <c r="B118" s="118" t="s">
        <v>124</v>
      </c>
      <c r="C118" s="119"/>
      <c r="D118" s="119">
        <v>3576.51</v>
      </c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20">
        <f t="shared" si="44"/>
        <v>3576.51</v>
      </c>
      <c r="AB118" s="120">
        <f t="shared" si="45"/>
        <v>3576.51</v>
      </c>
      <c r="AC118" s="126"/>
    </row>
    <row r="119" ht="15.75" customHeight="1" outlineLevel="1">
      <c r="A119" s="125"/>
      <c r="B119" s="118" t="s">
        <v>125</v>
      </c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20">
        <f t="shared" si="44"/>
        <v>0</v>
      </c>
      <c r="AB119" s="120">
        <f t="shared" si="45"/>
        <v>0</v>
      </c>
      <c r="AC119" s="126"/>
    </row>
    <row r="120" ht="15.75" customHeight="1" outlineLevel="1">
      <c r="A120" s="125"/>
      <c r="B120" s="118" t="s">
        <v>126</v>
      </c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20">
        <f t="shared" si="44"/>
        <v>0</v>
      </c>
      <c r="AB120" s="120">
        <f t="shared" si="45"/>
        <v>0</v>
      </c>
      <c r="AC120" s="126"/>
    </row>
    <row r="121" ht="15.75" customHeight="1" outlineLevel="1">
      <c r="A121" s="125"/>
      <c r="B121" s="118" t="s">
        <v>127</v>
      </c>
      <c r="C121" s="119">
        <v>63.91</v>
      </c>
      <c r="D121" s="119">
        <v>155.42</v>
      </c>
      <c r="E121" s="119">
        <v>63.91</v>
      </c>
      <c r="F121" s="119">
        <v>125.18</v>
      </c>
      <c r="G121" s="122">
        <v>63.9</v>
      </c>
      <c r="H121" s="119">
        <v>77.33</v>
      </c>
      <c r="I121" s="119"/>
      <c r="J121" s="119">
        <v>237.52</v>
      </c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20">
        <f t="shared" si="44"/>
        <v>787.17</v>
      </c>
      <c r="AB121" s="120">
        <f t="shared" si="45"/>
        <v>196.7925</v>
      </c>
      <c r="AC121" s="126"/>
    </row>
    <row r="122" ht="15.75" customHeight="1" outlineLevel="1">
      <c r="A122" s="125"/>
      <c r="B122" s="118" t="s">
        <v>128</v>
      </c>
      <c r="C122" s="119">
        <v>213.74</v>
      </c>
      <c r="D122" s="119">
        <v>204.81</v>
      </c>
      <c r="E122" s="119"/>
      <c r="F122" s="119"/>
      <c r="G122" s="119"/>
      <c r="H122" s="119"/>
      <c r="I122" s="119"/>
      <c r="J122" s="119">
        <v>669.27</v>
      </c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20">
        <f t="shared" si="44"/>
        <v>1087.82</v>
      </c>
      <c r="AB122" s="120">
        <f t="shared" si="45"/>
        <v>543.91</v>
      </c>
      <c r="AC122" s="126"/>
    </row>
    <row r="123" ht="15.75" customHeight="1" outlineLevel="1">
      <c r="A123" s="125"/>
      <c r="B123" s="121" t="s">
        <v>129</v>
      </c>
      <c r="C123" s="119"/>
      <c r="D123" s="119"/>
      <c r="E123" s="119"/>
      <c r="F123" s="119"/>
      <c r="G123" s="119"/>
      <c r="H123" s="119">
        <v>172.01</v>
      </c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20">
        <f t="shared" si="44"/>
        <v>172.01</v>
      </c>
      <c r="AB123" s="120">
        <f t="shared" si="45"/>
        <v>172.01</v>
      </c>
      <c r="AC123" s="126"/>
    </row>
    <row r="124" ht="15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75"/>
      <c r="AB124" s="75"/>
      <c r="AC124" s="90"/>
    </row>
    <row r="125" ht="15.0" customHeight="1">
      <c r="A125" s="125"/>
      <c r="B125" s="124" t="s">
        <v>130</v>
      </c>
      <c r="C125" s="123">
        <f t="shared" ref="C125:N125" si="46">SUM(C127:C131)</f>
        <v>253.48</v>
      </c>
      <c r="D125" s="123">
        <f t="shared" si="46"/>
        <v>1500</v>
      </c>
      <c r="E125" s="123">
        <f t="shared" si="46"/>
        <v>222.41</v>
      </c>
      <c r="F125" s="123">
        <f t="shared" si="46"/>
        <v>0</v>
      </c>
      <c r="G125" s="123">
        <f t="shared" si="46"/>
        <v>274.89</v>
      </c>
      <c r="H125" s="123">
        <f t="shared" si="46"/>
        <v>0</v>
      </c>
      <c r="I125" s="123">
        <f t="shared" si="46"/>
        <v>133.75</v>
      </c>
      <c r="J125" s="123">
        <f t="shared" si="46"/>
        <v>3900</v>
      </c>
      <c r="K125" s="123">
        <f t="shared" si="46"/>
        <v>0</v>
      </c>
      <c r="L125" s="123">
        <f t="shared" si="46"/>
        <v>0</v>
      </c>
      <c r="M125" s="123">
        <f t="shared" si="46"/>
        <v>0</v>
      </c>
      <c r="N125" s="123">
        <f t="shared" si="46"/>
        <v>0</v>
      </c>
      <c r="O125" s="123">
        <f>sum(O127:P131)</f>
        <v>0</v>
      </c>
      <c r="P125" s="103"/>
      <c r="Q125" s="123">
        <f>sum(Q127:R131)</f>
        <v>0</v>
      </c>
      <c r="R125" s="103"/>
      <c r="S125" s="123">
        <f>sum(S127:T131)</f>
        <v>0</v>
      </c>
      <c r="T125" s="103"/>
      <c r="U125" s="123">
        <f>sum(U127:V131)</f>
        <v>0</v>
      </c>
      <c r="V125" s="103"/>
      <c r="W125" s="123">
        <f>sum(W127:X131)</f>
        <v>0</v>
      </c>
      <c r="X125" s="103"/>
      <c r="Y125" s="123">
        <f>sum(Y127:Z131)</f>
        <v>0</v>
      </c>
      <c r="Z125" s="103"/>
      <c r="AA125" s="117">
        <f>SUM(C125:N125)</f>
        <v>6284.53</v>
      </c>
      <c r="AB125" s="117">
        <f>AVERAGE(AB127:AB135)</f>
        <v>817.4072634</v>
      </c>
      <c r="AC125" s="126"/>
    </row>
    <row r="126" ht="14.25" customHeight="1" outlineLevel="1">
      <c r="A126" s="71"/>
      <c r="B126" s="105" t="s">
        <v>50</v>
      </c>
      <c r="C126" s="106" t="s">
        <v>51</v>
      </c>
      <c r="D126" s="107" t="s">
        <v>52</v>
      </c>
      <c r="E126" s="106" t="s">
        <v>51</v>
      </c>
      <c r="F126" s="107" t="s">
        <v>52</v>
      </c>
      <c r="G126" s="106" t="s">
        <v>51</v>
      </c>
      <c r="H126" s="107" t="s">
        <v>52</v>
      </c>
      <c r="I126" s="106" t="s">
        <v>51</v>
      </c>
      <c r="J126" s="107" t="s">
        <v>52</v>
      </c>
      <c r="K126" s="106" t="s">
        <v>51</v>
      </c>
      <c r="L126" s="107" t="s">
        <v>52</v>
      </c>
      <c r="M126" s="106" t="s">
        <v>51</v>
      </c>
      <c r="N126" s="107" t="s">
        <v>52</v>
      </c>
      <c r="O126" s="106" t="s">
        <v>51</v>
      </c>
      <c r="P126" s="107" t="s">
        <v>52</v>
      </c>
      <c r="Q126" s="106" t="s">
        <v>51</v>
      </c>
      <c r="R126" s="107" t="s">
        <v>52</v>
      </c>
      <c r="S126" s="106" t="s">
        <v>51</v>
      </c>
      <c r="T126" s="107" t="s">
        <v>52</v>
      </c>
      <c r="U126" s="106" t="s">
        <v>51</v>
      </c>
      <c r="V126" s="107" t="s">
        <v>52</v>
      </c>
      <c r="W126" s="106" t="s">
        <v>51</v>
      </c>
      <c r="X126" s="107" t="s">
        <v>52</v>
      </c>
      <c r="Y126" s="106" t="s">
        <v>51</v>
      </c>
      <c r="Z126" s="107" t="s">
        <v>52</v>
      </c>
      <c r="AA126" s="108"/>
      <c r="AB126" s="108"/>
      <c r="AC126" s="74"/>
    </row>
    <row r="127" ht="15.75" customHeight="1" outlineLevel="1">
      <c r="A127" s="125"/>
      <c r="B127" s="121" t="s">
        <v>131</v>
      </c>
      <c r="C127" s="119">
        <v>0.0</v>
      </c>
      <c r="D127" s="119">
        <v>1500.0</v>
      </c>
      <c r="E127" s="119"/>
      <c r="F127" s="119"/>
      <c r="G127" s="119"/>
      <c r="H127" s="119"/>
      <c r="I127" s="119"/>
      <c r="J127" s="119">
        <v>3900.0</v>
      </c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20">
        <f t="shared" ref="AA127:AA131" si="47">SUM(C127:N127)</f>
        <v>5400</v>
      </c>
      <c r="AB127" s="120">
        <f t="shared" ref="AB127:AB131" si="48">AVERAGE(C127:AA127)</f>
        <v>2700</v>
      </c>
      <c r="AC127" s="126"/>
    </row>
    <row r="128" ht="15.75" customHeight="1" outlineLevel="1">
      <c r="A128" s="125"/>
      <c r="B128" s="121" t="s">
        <v>132</v>
      </c>
      <c r="C128" s="119">
        <v>73.58</v>
      </c>
      <c r="D128" s="119"/>
      <c r="E128" s="119">
        <v>42.51</v>
      </c>
      <c r="F128" s="119"/>
      <c r="G128" s="119">
        <v>94.99</v>
      </c>
      <c r="H128" s="119"/>
      <c r="I128" s="119">
        <v>133.75</v>
      </c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20">
        <f t="shared" si="47"/>
        <v>344.83</v>
      </c>
      <c r="AB128" s="120">
        <f t="shared" si="48"/>
        <v>137.932</v>
      </c>
      <c r="AC128" s="126"/>
    </row>
    <row r="129" ht="15.75" customHeight="1" outlineLevel="1">
      <c r="A129" s="125"/>
      <c r="B129" s="118" t="s">
        <v>133</v>
      </c>
      <c r="C129" s="119">
        <v>0.0</v>
      </c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20">
        <f t="shared" si="47"/>
        <v>0</v>
      </c>
      <c r="AB129" s="120">
        <f t="shared" si="48"/>
        <v>0</v>
      </c>
      <c r="AC129" s="126"/>
    </row>
    <row r="130" ht="15.75" customHeight="1" outlineLevel="1">
      <c r="A130" s="125"/>
      <c r="B130" s="121" t="s">
        <v>134</v>
      </c>
      <c r="C130" s="119">
        <v>179.9</v>
      </c>
      <c r="D130" s="119"/>
      <c r="E130" s="119">
        <v>179.9</v>
      </c>
      <c r="F130" s="119"/>
      <c r="G130" s="122">
        <v>179.9</v>
      </c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20">
        <f t="shared" si="47"/>
        <v>539.7</v>
      </c>
      <c r="AB130" s="120">
        <f t="shared" si="48"/>
        <v>269.85</v>
      </c>
      <c r="AC130" s="126"/>
    </row>
    <row r="131" ht="15.75" customHeight="1" outlineLevel="1">
      <c r="A131" s="125"/>
      <c r="B131" s="118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20">
        <f t="shared" si="47"/>
        <v>0</v>
      </c>
      <c r="AB131" s="120">
        <f t="shared" si="48"/>
        <v>0</v>
      </c>
      <c r="AC131" s="126"/>
    </row>
    <row r="132" ht="15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75"/>
      <c r="AB132" s="75"/>
      <c r="AC132" s="90"/>
    </row>
    <row r="133" ht="15.0" customHeight="1">
      <c r="A133" s="125"/>
      <c r="B133" s="124" t="s">
        <v>135</v>
      </c>
      <c r="C133" s="123">
        <f t="shared" ref="C133:N133" si="49">SUM(C135:C139)</f>
        <v>0</v>
      </c>
      <c r="D133" s="123">
        <f t="shared" si="49"/>
        <v>748.14</v>
      </c>
      <c r="E133" s="123">
        <f t="shared" si="49"/>
        <v>782.14</v>
      </c>
      <c r="F133" s="123">
        <f t="shared" si="49"/>
        <v>8.5</v>
      </c>
      <c r="G133" s="123">
        <f t="shared" si="49"/>
        <v>187.88</v>
      </c>
      <c r="H133" s="123">
        <f t="shared" si="49"/>
        <v>82</v>
      </c>
      <c r="I133" s="123">
        <f t="shared" si="49"/>
        <v>169.28</v>
      </c>
      <c r="J133" s="123">
        <f t="shared" si="49"/>
        <v>2205.03</v>
      </c>
      <c r="K133" s="123">
        <f t="shared" si="49"/>
        <v>71.98</v>
      </c>
      <c r="L133" s="123">
        <f t="shared" si="49"/>
        <v>0</v>
      </c>
      <c r="M133" s="123">
        <f t="shared" si="49"/>
        <v>0</v>
      </c>
      <c r="N133" s="123">
        <f t="shared" si="49"/>
        <v>0</v>
      </c>
      <c r="O133" s="123">
        <f>sum(O135:P139)</f>
        <v>0</v>
      </c>
      <c r="P133" s="103"/>
      <c r="Q133" s="123">
        <f>sum(Q135:R139)</f>
        <v>0</v>
      </c>
      <c r="R133" s="103"/>
      <c r="S133" s="123">
        <f>sum(S135:T139)</f>
        <v>0</v>
      </c>
      <c r="T133" s="103"/>
      <c r="U133" s="123">
        <f>sum(U135:V139)</f>
        <v>0</v>
      </c>
      <c r="V133" s="103"/>
      <c r="W133" s="123">
        <f>sum(W135:X139)</f>
        <v>0</v>
      </c>
      <c r="X133" s="103"/>
      <c r="Y133" s="123">
        <f>sum(Y135:Z139)</f>
        <v>0</v>
      </c>
      <c r="Z133" s="103"/>
      <c r="AA133" s="117">
        <f>SUM(AA135:AA139)</f>
        <v>4254.95</v>
      </c>
      <c r="AB133" s="117">
        <f>AVERAGE(AB135:AB143)</f>
        <v>948.0138435</v>
      </c>
      <c r="AC133" s="126"/>
    </row>
    <row r="134" ht="14.25" customHeight="1" outlineLevel="1">
      <c r="A134" s="71"/>
      <c r="B134" s="105" t="s">
        <v>50</v>
      </c>
      <c r="C134" s="106" t="s">
        <v>51</v>
      </c>
      <c r="D134" s="107" t="s">
        <v>52</v>
      </c>
      <c r="E134" s="106" t="s">
        <v>51</v>
      </c>
      <c r="F134" s="107" t="s">
        <v>52</v>
      </c>
      <c r="G134" s="106" t="s">
        <v>51</v>
      </c>
      <c r="H134" s="107" t="s">
        <v>52</v>
      </c>
      <c r="I134" s="106" t="s">
        <v>51</v>
      </c>
      <c r="J134" s="107" t="s">
        <v>52</v>
      </c>
      <c r="K134" s="106" t="s">
        <v>51</v>
      </c>
      <c r="L134" s="107" t="s">
        <v>52</v>
      </c>
      <c r="M134" s="106" t="s">
        <v>51</v>
      </c>
      <c r="N134" s="107" t="s">
        <v>52</v>
      </c>
      <c r="O134" s="106" t="s">
        <v>51</v>
      </c>
      <c r="P134" s="107" t="s">
        <v>52</v>
      </c>
      <c r="Q134" s="106" t="s">
        <v>51</v>
      </c>
      <c r="R134" s="107" t="s">
        <v>52</v>
      </c>
      <c r="S134" s="106" t="s">
        <v>51</v>
      </c>
      <c r="T134" s="107" t="s">
        <v>52</v>
      </c>
      <c r="U134" s="106" t="s">
        <v>51</v>
      </c>
      <c r="V134" s="107" t="s">
        <v>52</v>
      </c>
      <c r="W134" s="106" t="s">
        <v>51</v>
      </c>
      <c r="X134" s="107" t="s">
        <v>52</v>
      </c>
      <c r="Y134" s="106" t="s">
        <v>51</v>
      </c>
      <c r="Z134" s="107" t="s">
        <v>52</v>
      </c>
      <c r="AA134" s="108"/>
      <c r="AB134" s="108"/>
      <c r="AC134" s="74"/>
    </row>
    <row r="135" ht="15.75" customHeight="1" outlineLevel="1">
      <c r="A135" s="125"/>
      <c r="B135" s="121" t="s">
        <v>136</v>
      </c>
      <c r="C135" s="119"/>
      <c r="D135" s="119">
        <v>748.14</v>
      </c>
      <c r="E135" s="119">
        <v>748.14</v>
      </c>
      <c r="F135" s="119"/>
      <c r="G135" s="119"/>
      <c r="H135" s="119"/>
      <c r="I135" s="119"/>
      <c r="J135" s="119">
        <v>1835.83</v>
      </c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20">
        <f t="shared" ref="AA135:AA139" si="50">SUM(C135:N135)</f>
        <v>3332.11</v>
      </c>
      <c r="AB135" s="120">
        <f t="shared" ref="AB135:AB139" si="51">AVERAGE(C135:AA135)</f>
        <v>1666.055</v>
      </c>
      <c r="AC135" s="126"/>
    </row>
    <row r="136" ht="15.75" customHeight="1" outlineLevel="1">
      <c r="A136" s="125"/>
      <c r="B136" s="118" t="s">
        <v>137</v>
      </c>
      <c r="C136" s="119"/>
      <c r="D136" s="119"/>
      <c r="E136" s="119"/>
      <c r="F136" s="119"/>
      <c r="G136" s="119">
        <v>138.88</v>
      </c>
      <c r="H136" s="119">
        <v>28.5</v>
      </c>
      <c r="I136" s="119">
        <v>71.98</v>
      </c>
      <c r="J136" s="119">
        <v>11.7</v>
      </c>
      <c r="K136" s="119">
        <v>71.98</v>
      </c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20">
        <f t="shared" si="50"/>
        <v>323.04</v>
      </c>
      <c r="AB136" s="120">
        <f t="shared" si="51"/>
        <v>107.68</v>
      </c>
      <c r="AC136" s="126"/>
    </row>
    <row r="137" ht="15.75" customHeight="1" outlineLevel="1">
      <c r="A137" s="125"/>
      <c r="B137" s="118" t="s">
        <v>138</v>
      </c>
      <c r="C137" s="119"/>
      <c r="D137" s="119"/>
      <c r="E137" s="119"/>
      <c r="F137" s="119"/>
      <c r="G137" s="119"/>
      <c r="H137" s="119">
        <v>30.0</v>
      </c>
      <c r="I137" s="119">
        <v>49.8</v>
      </c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20">
        <f t="shared" si="50"/>
        <v>79.8</v>
      </c>
      <c r="AB137" s="120">
        <f t="shared" si="51"/>
        <v>53.2</v>
      </c>
      <c r="AC137" s="126"/>
    </row>
    <row r="138" ht="15.75" customHeight="1" outlineLevel="1">
      <c r="A138" s="125"/>
      <c r="B138" s="121" t="s">
        <v>139</v>
      </c>
      <c r="C138" s="119"/>
      <c r="D138" s="119"/>
      <c r="E138" s="119">
        <v>34.0</v>
      </c>
      <c r="F138" s="119">
        <v>8.5</v>
      </c>
      <c r="G138" s="119">
        <v>49.0</v>
      </c>
      <c r="H138" s="119">
        <v>23.5</v>
      </c>
      <c r="I138" s="119">
        <v>47.5</v>
      </c>
      <c r="J138" s="119">
        <v>37.5</v>
      </c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20">
        <f t="shared" si="50"/>
        <v>200</v>
      </c>
      <c r="AB138" s="120">
        <f t="shared" si="51"/>
        <v>57.14285714</v>
      </c>
      <c r="AC138" s="126"/>
    </row>
    <row r="139" ht="15.75" customHeight="1" outlineLevel="1">
      <c r="A139" s="125"/>
      <c r="B139" s="121" t="s">
        <v>140</v>
      </c>
      <c r="C139" s="119"/>
      <c r="D139" s="119"/>
      <c r="E139" s="119"/>
      <c r="F139" s="119" t="str">
        <f t="shared" ref="F139:I139" si="52">E139</f>
        <v/>
      </c>
      <c r="G139" s="119" t="str">
        <f t="shared" si="52"/>
        <v/>
      </c>
      <c r="H139" s="119" t="str">
        <f t="shared" si="52"/>
        <v/>
      </c>
      <c r="I139" s="119" t="str">
        <f t="shared" si="52"/>
        <v/>
      </c>
      <c r="J139" s="119">
        <v>320.0</v>
      </c>
      <c r="K139" s="119"/>
      <c r="L139" s="119" t="str">
        <f t="shared" ref="L139:N139" si="53">K139</f>
        <v/>
      </c>
      <c r="M139" s="119" t="str">
        <f t="shared" si="53"/>
        <v/>
      </c>
      <c r="N139" s="119" t="str">
        <f t="shared" si="53"/>
        <v/>
      </c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20">
        <f t="shared" si="50"/>
        <v>320</v>
      </c>
      <c r="AB139" s="120">
        <f t="shared" si="51"/>
        <v>320</v>
      </c>
      <c r="AC139" s="126"/>
    </row>
    <row r="140" ht="15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75"/>
      <c r="AB140" s="75"/>
      <c r="AC140" s="90"/>
    </row>
    <row r="141" ht="15.0" customHeight="1">
      <c r="A141" s="125"/>
      <c r="B141" s="124" t="s">
        <v>141</v>
      </c>
      <c r="C141" s="123">
        <f t="shared" ref="C141:N141" si="54">SUM(C143:C147)</f>
        <v>0</v>
      </c>
      <c r="D141" s="123">
        <f t="shared" si="54"/>
        <v>0</v>
      </c>
      <c r="E141" s="123">
        <f t="shared" si="54"/>
        <v>219.49</v>
      </c>
      <c r="F141" s="123">
        <f t="shared" si="54"/>
        <v>0</v>
      </c>
      <c r="G141" s="123">
        <f t="shared" si="54"/>
        <v>130.5</v>
      </c>
      <c r="H141" s="123">
        <f t="shared" si="54"/>
        <v>0</v>
      </c>
      <c r="I141" s="123">
        <f t="shared" si="54"/>
        <v>39.96</v>
      </c>
      <c r="J141" s="123">
        <f t="shared" si="54"/>
        <v>4280</v>
      </c>
      <c r="K141" s="123">
        <f t="shared" si="54"/>
        <v>0</v>
      </c>
      <c r="L141" s="123">
        <f t="shared" si="54"/>
        <v>0</v>
      </c>
      <c r="M141" s="123">
        <f t="shared" si="54"/>
        <v>0</v>
      </c>
      <c r="N141" s="123">
        <f t="shared" si="54"/>
        <v>0</v>
      </c>
      <c r="O141" s="123">
        <f>sum(O143:P147)</f>
        <v>0</v>
      </c>
      <c r="P141" s="103"/>
      <c r="Q141" s="123">
        <f>sum(Q143:R147)</f>
        <v>0</v>
      </c>
      <c r="R141" s="103"/>
      <c r="S141" s="123">
        <f>sum(S143:T147)</f>
        <v>0</v>
      </c>
      <c r="T141" s="103"/>
      <c r="U141" s="123">
        <f>sum(U143:V147)</f>
        <v>0</v>
      </c>
      <c r="V141" s="103"/>
      <c r="W141" s="123">
        <f>sum(W143:X147)</f>
        <v>0</v>
      </c>
      <c r="X141" s="103"/>
      <c r="Y141" s="123">
        <f>sum(Y143:Z147)</f>
        <v>0</v>
      </c>
      <c r="Z141" s="103"/>
      <c r="AA141" s="117">
        <f>SUM(AA143:AA147)</f>
        <v>4669.95</v>
      </c>
      <c r="AB141" s="117">
        <f>AVERAGE(AB143:AB151)</f>
        <v>652.0190476</v>
      </c>
      <c r="AC141" s="126"/>
    </row>
    <row r="142" ht="14.25" customHeight="1" outlineLevel="1">
      <c r="A142" s="71"/>
      <c r="B142" s="105" t="s">
        <v>50</v>
      </c>
      <c r="C142" s="106" t="s">
        <v>51</v>
      </c>
      <c r="D142" s="107" t="s">
        <v>52</v>
      </c>
      <c r="E142" s="106" t="s">
        <v>51</v>
      </c>
      <c r="F142" s="107" t="s">
        <v>52</v>
      </c>
      <c r="G142" s="106" t="s">
        <v>51</v>
      </c>
      <c r="H142" s="107" t="s">
        <v>52</v>
      </c>
      <c r="I142" s="106" t="s">
        <v>51</v>
      </c>
      <c r="J142" s="107" t="s">
        <v>52</v>
      </c>
      <c r="K142" s="106" t="s">
        <v>51</v>
      </c>
      <c r="L142" s="107" t="s">
        <v>52</v>
      </c>
      <c r="M142" s="106" t="s">
        <v>51</v>
      </c>
      <c r="N142" s="107" t="s">
        <v>52</v>
      </c>
      <c r="O142" s="106" t="s">
        <v>51</v>
      </c>
      <c r="P142" s="107" t="s">
        <v>52</v>
      </c>
      <c r="Q142" s="106" t="s">
        <v>51</v>
      </c>
      <c r="R142" s="107" t="s">
        <v>52</v>
      </c>
      <c r="S142" s="106" t="s">
        <v>51</v>
      </c>
      <c r="T142" s="107" t="s">
        <v>52</v>
      </c>
      <c r="U142" s="106" t="s">
        <v>51</v>
      </c>
      <c r="V142" s="107" t="s">
        <v>52</v>
      </c>
      <c r="W142" s="106" t="s">
        <v>51</v>
      </c>
      <c r="X142" s="107" t="s">
        <v>52</v>
      </c>
      <c r="Y142" s="106" t="s">
        <v>51</v>
      </c>
      <c r="Z142" s="107" t="s">
        <v>52</v>
      </c>
      <c r="AA142" s="108"/>
      <c r="AB142" s="108"/>
      <c r="AC142" s="74"/>
    </row>
    <row r="143" ht="15.75" customHeight="1" outlineLevel="1">
      <c r="A143" s="125"/>
      <c r="B143" s="118" t="s">
        <v>142</v>
      </c>
      <c r="C143" s="119"/>
      <c r="D143" s="119"/>
      <c r="E143" s="119"/>
      <c r="F143" s="119"/>
      <c r="G143" s="119"/>
      <c r="H143" s="119"/>
      <c r="I143" s="119"/>
      <c r="J143" s="119">
        <v>3780.0</v>
      </c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20">
        <f t="shared" ref="AA143:AA147" si="55">SUM(C143:N143)</f>
        <v>3780</v>
      </c>
      <c r="AB143" s="120">
        <f t="shared" ref="AB143:AB147" si="56">AVERAGE(C143:AA143)</f>
        <v>3780</v>
      </c>
      <c r="AC143" s="126"/>
    </row>
    <row r="144" ht="15.75" customHeight="1" outlineLevel="1">
      <c r="A144" s="125"/>
      <c r="B144" s="118" t="s">
        <v>137</v>
      </c>
      <c r="C144" s="119"/>
      <c r="D144" s="119"/>
      <c r="E144" s="119">
        <v>72.5</v>
      </c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20">
        <f t="shared" si="55"/>
        <v>72.5</v>
      </c>
      <c r="AB144" s="120">
        <f t="shared" si="56"/>
        <v>72.5</v>
      </c>
      <c r="AC144" s="126"/>
    </row>
    <row r="145" ht="15.75" customHeight="1" outlineLevel="1">
      <c r="A145" s="125"/>
      <c r="B145" s="118" t="s">
        <v>138</v>
      </c>
      <c r="C145" s="119"/>
      <c r="D145" s="119"/>
      <c r="E145" s="119"/>
      <c r="F145" s="119"/>
      <c r="G145" s="119"/>
      <c r="H145" s="119"/>
      <c r="I145" s="119"/>
      <c r="J145" s="119">
        <v>500.0</v>
      </c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20">
        <f t="shared" si="55"/>
        <v>500</v>
      </c>
      <c r="AB145" s="120">
        <f t="shared" si="56"/>
        <v>500</v>
      </c>
      <c r="AC145" s="126"/>
    </row>
    <row r="146" ht="15.75" customHeight="1" outlineLevel="1">
      <c r="A146" s="125"/>
      <c r="B146" s="118" t="s">
        <v>143</v>
      </c>
      <c r="C146" s="119"/>
      <c r="D146" s="119"/>
      <c r="E146" s="119">
        <v>130.5</v>
      </c>
      <c r="F146" s="119"/>
      <c r="G146" s="122">
        <v>130.5</v>
      </c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20">
        <f t="shared" si="55"/>
        <v>261</v>
      </c>
      <c r="AB146" s="120">
        <f t="shared" si="56"/>
        <v>174</v>
      </c>
      <c r="AC146" s="126"/>
    </row>
    <row r="147" ht="15.75" customHeight="1" outlineLevel="1">
      <c r="A147" s="125"/>
      <c r="B147" s="121" t="s">
        <v>144</v>
      </c>
      <c r="C147" s="119"/>
      <c r="D147" s="119"/>
      <c r="E147" s="119">
        <v>16.49</v>
      </c>
      <c r="F147" s="119"/>
      <c r="G147" s="119"/>
      <c r="H147" s="119"/>
      <c r="I147" s="119">
        <v>39.96</v>
      </c>
      <c r="J147" s="119"/>
      <c r="K147" s="119"/>
      <c r="L147" s="119"/>
      <c r="M147" s="119" t="str">
        <f t="shared" ref="M147:N147" si="57">L147</f>
        <v/>
      </c>
      <c r="N147" s="119" t="str">
        <f t="shared" si="57"/>
        <v/>
      </c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20">
        <f t="shared" si="55"/>
        <v>56.45</v>
      </c>
      <c r="AB147" s="120">
        <f t="shared" si="56"/>
        <v>37.63333333</v>
      </c>
      <c r="AC147" s="126"/>
    </row>
    <row r="148" ht="15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75"/>
      <c r="AB148" s="75"/>
      <c r="AC148" s="90"/>
    </row>
    <row r="149" ht="15.0" customHeight="1">
      <c r="A149" s="125"/>
      <c r="B149" s="124" t="s">
        <v>145</v>
      </c>
      <c r="C149" s="123">
        <f t="shared" ref="C149:N149" si="58">SUM(C151:C159)</f>
        <v>0</v>
      </c>
      <c r="D149" s="123">
        <f t="shared" si="58"/>
        <v>0</v>
      </c>
      <c r="E149" s="123">
        <f t="shared" si="58"/>
        <v>0</v>
      </c>
      <c r="F149" s="123">
        <f t="shared" si="58"/>
        <v>0</v>
      </c>
      <c r="G149" s="123">
        <f t="shared" si="58"/>
        <v>0</v>
      </c>
      <c r="H149" s="123">
        <f t="shared" si="58"/>
        <v>0</v>
      </c>
      <c r="I149" s="123">
        <f t="shared" si="58"/>
        <v>0</v>
      </c>
      <c r="J149" s="123">
        <f t="shared" si="58"/>
        <v>0</v>
      </c>
      <c r="K149" s="123">
        <f t="shared" si="58"/>
        <v>0</v>
      </c>
      <c r="L149" s="123">
        <f t="shared" si="58"/>
        <v>0</v>
      </c>
      <c r="M149" s="123">
        <f t="shared" si="58"/>
        <v>0</v>
      </c>
      <c r="N149" s="123">
        <f t="shared" si="58"/>
        <v>0</v>
      </c>
      <c r="O149" s="123">
        <f>sum(O151:P159)</f>
        <v>0</v>
      </c>
      <c r="P149" s="103"/>
      <c r="Q149" s="123">
        <f>sum(Q151:R159)</f>
        <v>0</v>
      </c>
      <c r="R149" s="103"/>
      <c r="S149" s="123">
        <f>sum(S151:T159)</f>
        <v>0</v>
      </c>
      <c r="T149" s="103"/>
      <c r="U149" s="123">
        <f>sum(U151:V159)</f>
        <v>0</v>
      </c>
      <c r="V149" s="103"/>
      <c r="W149" s="123">
        <f>sum(W151:X159)</f>
        <v>0</v>
      </c>
      <c r="X149" s="103"/>
      <c r="Y149" s="123">
        <f>sum(Y151:Z159)</f>
        <v>0</v>
      </c>
      <c r="Z149" s="103"/>
      <c r="AA149" s="117">
        <f>SUM(AA151:AA159)</f>
        <v>0</v>
      </c>
      <c r="AB149" s="117">
        <f>AVERAGE(AB151:AB162)</f>
        <v>0</v>
      </c>
      <c r="AC149" s="126"/>
    </row>
    <row r="150" ht="14.25" customHeight="1" outlineLevel="1">
      <c r="A150" s="71"/>
      <c r="B150" s="105" t="s">
        <v>50</v>
      </c>
      <c r="C150" s="106" t="s">
        <v>51</v>
      </c>
      <c r="D150" s="107" t="s">
        <v>52</v>
      </c>
      <c r="E150" s="106" t="s">
        <v>51</v>
      </c>
      <c r="F150" s="107" t="s">
        <v>52</v>
      </c>
      <c r="G150" s="106" t="s">
        <v>51</v>
      </c>
      <c r="H150" s="107" t="s">
        <v>52</v>
      </c>
      <c r="I150" s="106" t="s">
        <v>51</v>
      </c>
      <c r="J150" s="107" t="s">
        <v>52</v>
      </c>
      <c r="K150" s="106" t="s">
        <v>51</v>
      </c>
      <c r="L150" s="107" t="s">
        <v>52</v>
      </c>
      <c r="M150" s="106" t="s">
        <v>51</v>
      </c>
      <c r="N150" s="107" t="s">
        <v>52</v>
      </c>
      <c r="O150" s="106" t="s">
        <v>51</v>
      </c>
      <c r="P150" s="107" t="s">
        <v>52</v>
      </c>
      <c r="Q150" s="106" t="s">
        <v>51</v>
      </c>
      <c r="R150" s="107" t="s">
        <v>52</v>
      </c>
      <c r="S150" s="106" t="s">
        <v>51</v>
      </c>
      <c r="T150" s="107" t="s">
        <v>52</v>
      </c>
      <c r="U150" s="106" t="s">
        <v>51</v>
      </c>
      <c r="V150" s="107" t="s">
        <v>52</v>
      </c>
      <c r="W150" s="106" t="s">
        <v>51</v>
      </c>
      <c r="X150" s="107" t="s">
        <v>52</v>
      </c>
      <c r="Y150" s="106" t="s">
        <v>51</v>
      </c>
      <c r="Z150" s="107" t="s">
        <v>52</v>
      </c>
      <c r="AA150" s="108"/>
      <c r="AB150" s="108"/>
      <c r="AC150" s="74"/>
    </row>
    <row r="151" ht="15.75" customHeight="1" outlineLevel="1">
      <c r="A151" s="125"/>
      <c r="B151" s="121" t="s">
        <v>146</v>
      </c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20">
        <f t="shared" ref="AA151:AA154" si="59">SUM(C151:N151)</f>
        <v>0</v>
      </c>
      <c r="AB151" s="120">
        <f t="shared" ref="AB151:AB154" si="60">AVERAGE(C151:AA151)</f>
        <v>0</v>
      </c>
      <c r="AC151" s="126"/>
    </row>
    <row r="152" ht="15.75" customHeight="1" outlineLevel="1">
      <c r="A152" s="125"/>
      <c r="B152" s="121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20">
        <f t="shared" si="59"/>
        <v>0</v>
      </c>
      <c r="AB152" s="120">
        <f t="shared" si="60"/>
        <v>0</v>
      </c>
      <c r="AC152" s="126"/>
    </row>
    <row r="153" ht="15.75" customHeight="1" outlineLevel="1">
      <c r="A153" s="125"/>
      <c r="B153" s="118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20">
        <f t="shared" si="59"/>
        <v>0</v>
      </c>
      <c r="AB153" s="120">
        <f t="shared" si="60"/>
        <v>0</v>
      </c>
      <c r="AC153" s="126"/>
    </row>
    <row r="154" ht="15.75" customHeight="1" outlineLevel="1">
      <c r="A154" s="125"/>
      <c r="B154" s="118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20">
        <f t="shared" si="59"/>
        <v>0</v>
      </c>
      <c r="AB154" s="120">
        <f t="shared" si="60"/>
        <v>0</v>
      </c>
      <c r="AC154" s="126"/>
    </row>
    <row r="155" ht="15.75" customHeight="1" outlineLevel="1">
      <c r="A155" s="125"/>
      <c r="B155" s="118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20"/>
      <c r="AB155" s="120"/>
      <c r="AC155" s="126"/>
    </row>
    <row r="156" ht="15.75" customHeight="1" outlineLevel="1">
      <c r="A156" s="125"/>
      <c r="B156" s="118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20"/>
      <c r="AB156" s="120"/>
      <c r="AC156" s="126"/>
    </row>
    <row r="157" ht="15.75" customHeight="1" outlineLevel="1">
      <c r="A157" s="125"/>
      <c r="B157" s="118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20"/>
      <c r="AB157" s="120"/>
      <c r="AC157" s="126"/>
    </row>
    <row r="158" ht="15.75" customHeight="1" outlineLevel="1">
      <c r="A158" s="125"/>
      <c r="B158" s="118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20"/>
      <c r="AB158" s="120"/>
      <c r="AC158" s="126"/>
    </row>
    <row r="159" ht="15.75" customHeight="1" outlineLevel="1">
      <c r="A159" s="125"/>
      <c r="B159" s="118"/>
      <c r="C159" s="119" t="str">
        <f t="shared" ref="C159:D159" si="61">B159</f>
        <v/>
      </c>
      <c r="D159" s="119" t="str">
        <f t="shared" si="61"/>
        <v/>
      </c>
      <c r="E159" s="119"/>
      <c r="F159" s="119" t="str">
        <f t="shared" ref="F159:N159" si="62">E159</f>
        <v/>
      </c>
      <c r="G159" s="119" t="str">
        <f t="shared" si="62"/>
        <v/>
      </c>
      <c r="H159" s="119" t="str">
        <f t="shared" si="62"/>
        <v/>
      </c>
      <c r="I159" s="119" t="str">
        <f t="shared" si="62"/>
        <v/>
      </c>
      <c r="J159" s="119" t="str">
        <f t="shared" si="62"/>
        <v/>
      </c>
      <c r="K159" s="119" t="str">
        <f t="shared" si="62"/>
        <v/>
      </c>
      <c r="L159" s="119" t="str">
        <f t="shared" si="62"/>
        <v/>
      </c>
      <c r="M159" s="119" t="str">
        <f t="shared" si="62"/>
        <v/>
      </c>
      <c r="N159" s="119" t="str">
        <f t="shared" si="62"/>
        <v/>
      </c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20">
        <f>SUM(C159:N159)</f>
        <v>0</v>
      </c>
      <c r="AB159" s="120">
        <f>AVERAGE(C159:AA159)</f>
        <v>0</v>
      </c>
      <c r="AC159" s="126"/>
    </row>
    <row r="160" ht="15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75"/>
      <c r="AB160" s="75"/>
      <c r="AC160" s="90"/>
    </row>
    <row r="161" ht="15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75"/>
      <c r="AB161" s="75"/>
      <c r="AC161" s="90"/>
    </row>
    <row r="162" ht="15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75"/>
      <c r="AB162" s="75"/>
      <c r="AC162" s="90"/>
    </row>
    <row r="163" ht="15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75"/>
      <c r="AB163" s="75"/>
      <c r="AC163" s="90"/>
    </row>
    <row r="164" ht="15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75"/>
      <c r="AB164" s="75"/>
      <c r="AC164" s="90"/>
    </row>
    <row r="165" ht="15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75"/>
      <c r="AB165" s="75"/>
      <c r="AC165" s="90"/>
    </row>
    <row r="166" ht="15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75"/>
      <c r="AB166" s="75"/>
      <c r="AC166" s="90"/>
    </row>
    <row r="167" ht="15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75"/>
      <c r="AB167" s="75"/>
      <c r="AC167" s="90"/>
    </row>
    <row r="168" ht="15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75"/>
      <c r="AB168" s="75"/>
      <c r="AC168" s="90"/>
    </row>
    <row r="169" ht="15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75"/>
      <c r="AB169" s="75"/>
      <c r="AC169" s="90"/>
    </row>
    <row r="170" ht="15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75"/>
      <c r="AB170" s="75"/>
      <c r="AC170" s="90"/>
    </row>
    <row r="171" ht="15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75"/>
      <c r="AB171" s="75"/>
      <c r="AC171" s="90"/>
    </row>
    <row r="172" ht="15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75"/>
      <c r="AB172" s="75"/>
      <c r="AC172" s="90"/>
    </row>
    <row r="173" ht="15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75"/>
      <c r="AB173" s="75"/>
      <c r="AC173" s="90"/>
    </row>
    <row r="174" ht="15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75"/>
      <c r="AB174" s="75"/>
      <c r="AC174" s="90"/>
    </row>
    <row r="175" ht="15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75"/>
      <c r="AB175" s="75"/>
      <c r="AC175" s="90"/>
    </row>
    <row r="176" ht="15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75"/>
      <c r="AB176" s="75"/>
      <c r="AC176" s="90"/>
    </row>
    <row r="177" ht="15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75"/>
      <c r="AB177" s="75"/>
      <c r="AC177" s="90"/>
    </row>
    <row r="178" ht="15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75"/>
      <c r="AB178" s="75"/>
      <c r="AC178" s="90"/>
    </row>
    <row r="179" ht="15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75"/>
      <c r="AB179" s="75"/>
      <c r="AC179" s="90"/>
    </row>
    <row r="180" ht="15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75"/>
      <c r="AB180" s="75"/>
      <c r="AC180" s="90"/>
    </row>
    <row r="181" ht="15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5"/>
      <c r="AB181" s="75"/>
      <c r="AC181" s="90"/>
    </row>
    <row r="182" ht="15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75"/>
      <c r="AB182" s="75"/>
      <c r="AC182" s="90"/>
    </row>
    <row r="183" ht="15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75"/>
      <c r="AB183" s="75"/>
      <c r="AC183" s="90"/>
    </row>
    <row r="184" ht="15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75"/>
      <c r="AB184" s="75"/>
      <c r="AC184" s="90"/>
    </row>
    <row r="185" ht="15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75"/>
      <c r="AB185" s="75"/>
      <c r="AC185" s="90"/>
    </row>
    <row r="186" ht="15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75"/>
      <c r="AB186" s="75"/>
      <c r="AC186" s="90"/>
    </row>
    <row r="187" ht="15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75"/>
      <c r="AB187" s="75"/>
      <c r="AC187" s="90"/>
    </row>
    <row r="188" ht="15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75"/>
      <c r="AB188" s="75"/>
      <c r="AC188" s="90"/>
    </row>
    <row r="189" ht="15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75"/>
      <c r="AB189" s="75"/>
      <c r="AC189" s="90"/>
    </row>
    <row r="190" ht="15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75"/>
      <c r="AB190" s="75"/>
      <c r="AC190" s="90"/>
    </row>
    <row r="191" ht="15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75"/>
      <c r="AB191" s="75"/>
      <c r="AC191" s="90"/>
    </row>
    <row r="192" ht="15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75"/>
      <c r="AB192" s="75"/>
      <c r="AC192" s="90"/>
    </row>
    <row r="193" ht="15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75"/>
      <c r="AB193" s="75"/>
      <c r="AC193" s="90"/>
    </row>
    <row r="194" ht="15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75"/>
      <c r="AB194" s="75"/>
      <c r="AC194" s="90"/>
    </row>
    <row r="195" ht="15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75"/>
      <c r="AB195" s="75"/>
      <c r="AC195" s="90"/>
    </row>
    <row r="196" ht="15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75"/>
      <c r="AB196" s="75"/>
      <c r="AC196" s="90"/>
    </row>
    <row r="197" ht="15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75"/>
      <c r="AB197" s="75"/>
      <c r="AC197" s="90"/>
    </row>
    <row r="198" ht="15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75"/>
      <c r="AB198" s="75"/>
      <c r="AC198" s="90"/>
    </row>
    <row r="199" ht="15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75"/>
      <c r="AB199" s="75"/>
      <c r="AC199" s="90"/>
    </row>
    <row r="200" ht="15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75"/>
      <c r="AB200" s="75"/>
      <c r="AC200" s="90"/>
    </row>
    <row r="201" ht="15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75"/>
      <c r="AB201" s="75"/>
      <c r="AC201" s="90"/>
    </row>
    <row r="202" ht="15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75"/>
      <c r="AB202" s="75"/>
      <c r="AC202" s="90"/>
    </row>
    <row r="203" ht="15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75"/>
      <c r="AB203" s="75"/>
      <c r="AC203" s="90"/>
    </row>
    <row r="204" ht="15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75"/>
      <c r="AB204" s="75"/>
      <c r="AC204" s="90"/>
    </row>
    <row r="205" ht="15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75"/>
      <c r="AB205" s="75"/>
      <c r="AC205" s="90"/>
    </row>
    <row r="206" ht="15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75"/>
      <c r="AB206" s="75"/>
      <c r="AC206" s="90"/>
    </row>
    <row r="207" ht="15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75"/>
      <c r="AB207" s="75"/>
      <c r="AC207" s="90"/>
    </row>
    <row r="208" ht="15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75"/>
      <c r="AB208" s="75"/>
      <c r="AC208" s="90"/>
    </row>
    <row r="209" ht="15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75"/>
      <c r="AB209" s="75"/>
      <c r="AC209" s="90"/>
    </row>
    <row r="210" ht="15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75"/>
      <c r="AB210" s="75"/>
      <c r="AC210" s="90"/>
    </row>
    <row r="211" ht="15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75"/>
      <c r="AB211" s="75"/>
      <c r="AC211" s="90"/>
    </row>
    <row r="212" ht="15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75"/>
      <c r="AB212" s="75"/>
      <c r="AC212" s="90"/>
    </row>
    <row r="213" ht="15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75"/>
      <c r="AB213" s="75"/>
      <c r="AC213" s="90"/>
    </row>
    <row r="214" ht="15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75"/>
      <c r="AB214" s="75"/>
      <c r="AC214" s="90"/>
    </row>
    <row r="215" ht="15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75"/>
      <c r="AB215" s="75"/>
      <c r="AC215" s="90"/>
    </row>
    <row r="216" ht="15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75"/>
      <c r="AB216" s="75"/>
      <c r="AC216" s="90"/>
    </row>
    <row r="217" ht="15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75"/>
      <c r="AB217" s="75"/>
      <c r="AC217" s="90"/>
    </row>
    <row r="218" ht="15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75"/>
      <c r="AB218" s="75"/>
      <c r="AC218" s="90"/>
    </row>
    <row r="219" ht="15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75"/>
      <c r="AB219" s="75"/>
      <c r="AC219" s="90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75"/>
      <c r="AB220" s="75"/>
      <c r="AC220" s="90"/>
    </row>
    <row r="221" ht="15.7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75"/>
      <c r="AB221" s="75"/>
      <c r="AC221" s="90"/>
    </row>
    <row r="222" ht="15.7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75"/>
      <c r="AB222" s="75"/>
      <c r="AC222" s="90"/>
    </row>
    <row r="223" ht="15.7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75"/>
      <c r="AB223" s="75"/>
      <c r="AC223" s="90"/>
    </row>
    <row r="224" ht="15.7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75"/>
      <c r="AB224" s="75"/>
      <c r="AC224" s="90"/>
    </row>
    <row r="225" ht="15.7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75"/>
      <c r="AB225" s="75"/>
      <c r="AC225" s="90"/>
    </row>
    <row r="226" ht="15.7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75"/>
      <c r="AB226" s="75"/>
      <c r="AC226" s="90"/>
    </row>
    <row r="227" ht="15.7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75"/>
      <c r="AB227" s="75"/>
      <c r="AC227" s="90"/>
    </row>
    <row r="228" ht="15.7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75"/>
      <c r="AB228" s="75"/>
      <c r="AC228" s="90"/>
    </row>
    <row r="229" ht="15.7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75"/>
      <c r="AB229" s="75"/>
      <c r="AC229" s="90"/>
    </row>
    <row r="230" ht="15.7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75"/>
      <c r="AB230" s="75"/>
      <c r="AC230" s="90"/>
    </row>
    <row r="231" ht="15.7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75"/>
      <c r="AB231" s="75"/>
      <c r="AC231" s="90"/>
    </row>
    <row r="232" ht="15.7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75"/>
      <c r="AB232" s="75"/>
      <c r="AC232" s="90"/>
    </row>
    <row r="233" ht="15.7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75"/>
      <c r="AB233" s="75"/>
      <c r="AC233" s="90"/>
    </row>
    <row r="234" ht="15.7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75"/>
      <c r="AB234" s="75"/>
      <c r="AC234" s="90"/>
    </row>
    <row r="235" ht="15.7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75"/>
      <c r="AB235" s="75"/>
      <c r="AC235" s="90"/>
    </row>
    <row r="236" ht="15.7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75"/>
      <c r="AB236" s="75"/>
      <c r="AC236" s="90"/>
    </row>
    <row r="237" ht="15.7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5"/>
      <c r="AB237" s="75"/>
      <c r="AC237" s="90"/>
    </row>
    <row r="238" ht="15.7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75"/>
      <c r="AB238" s="75"/>
      <c r="AC238" s="90"/>
    </row>
    <row r="239" ht="15.7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75"/>
      <c r="AB239" s="75"/>
      <c r="AC239" s="90"/>
    </row>
    <row r="240" ht="15.7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75"/>
      <c r="AB240" s="75"/>
      <c r="AC240" s="90"/>
    </row>
    <row r="241" ht="15.7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75"/>
      <c r="AB241" s="75"/>
      <c r="AC241" s="90"/>
    </row>
    <row r="242" ht="15.7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75"/>
      <c r="AB242" s="75"/>
      <c r="AC242" s="90"/>
    </row>
    <row r="243" ht="15.7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75"/>
      <c r="AB243" s="75"/>
      <c r="AC243" s="90"/>
    </row>
    <row r="244" ht="15.7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75"/>
      <c r="AB244" s="75"/>
      <c r="AC244" s="90"/>
    </row>
    <row r="245" ht="15.7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75"/>
      <c r="AB245" s="75"/>
      <c r="AC245" s="90"/>
    </row>
    <row r="246" ht="15.7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75"/>
      <c r="AB246" s="75"/>
      <c r="AC246" s="90"/>
    </row>
    <row r="247" ht="15.7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75"/>
      <c r="AB247" s="75"/>
      <c r="AC247" s="90"/>
    </row>
    <row r="248" ht="15.7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75"/>
      <c r="AB248" s="75"/>
      <c r="AC248" s="90"/>
    </row>
    <row r="249" ht="15.7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5"/>
      <c r="AB249" s="75"/>
      <c r="AC249" s="90"/>
    </row>
    <row r="250" ht="15.7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75"/>
      <c r="AB250" s="75"/>
      <c r="AC250" s="90"/>
    </row>
    <row r="251" ht="15.7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75"/>
      <c r="AB251" s="75"/>
      <c r="AC251" s="90"/>
    </row>
    <row r="252" ht="15.7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75"/>
      <c r="AB252" s="75"/>
      <c r="AC252" s="90"/>
    </row>
    <row r="253" ht="15.7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75"/>
      <c r="AB253" s="75"/>
      <c r="AC253" s="90"/>
    </row>
    <row r="254" ht="15.7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75"/>
      <c r="AB254" s="75"/>
      <c r="AC254" s="90"/>
    </row>
    <row r="255" ht="15.7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75"/>
      <c r="AB255" s="75"/>
      <c r="AC255" s="90"/>
    </row>
    <row r="256" ht="15.7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75"/>
      <c r="AB256" s="75"/>
      <c r="AC256" s="90"/>
    </row>
    <row r="257" ht="15.7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75"/>
      <c r="AB257" s="75"/>
      <c r="AC257" s="90"/>
    </row>
    <row r="258" ht="15.7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5"/>
      <c r="AB258" s="75"/>
      <c r="AC258" s="90"/>
    </row>
    <row r="259" ht="15.7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5"/>
      <c r="AB259" s="75"/>
      <c r="AC259" s="90"/>
    </row>
    <row r="260" ht="15.7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75"/>
      <c r="AB260" s="75"/>
      <c r="AC260" s="90"/>
    </row>
    <row r="261" ht="15.7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75"/>
      <c r="AB261" s="75"/>
      <c r="AC261" s="90"/>
    </row>
    <row r="262" ht="15.7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75"/>
      <c r="AB262" s="75"/>
      <c r="AC262" s="90"/>
    </row>
    <row r="263" ht="15.7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75"/>
      <c r="AB263" s="75"/>
      <c r="AC263" s="90"/>
    </row>
    <row r="264" ht="15.7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75"/>
      <c r="AB264" s="75"/>
      <c r="AC264" s="90"/>
    </row>
    <row r="265" ht="15.7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75"/>
      <c r="AB265" s="75"/>
      <c r="AC265" s="90"/>
    </row>
    <row r="266" ht="15.7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75"/>
      <c r="AB266" s="75"/>
      <c r="AC266" s="90"/>
    </row>
    <row r="267" ht="15.7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75"/>
      <c r="AB267" s="75"/>
      <c r="AC267" s="90"/>
    </row>
    <row r="268" ht="15.7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75"/>
      <c r="AB268" s="75"/>
      <c r="AC268" s="90"/>
    </row>
    <row r="269" ht="15.7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75"/>
      <c r="AB269" s="75"/>
      <c r="AC269" s="90"/>
    </row>
    <row r="270" ht="15.7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75"/>
      <c r="AB270" s="75"/>
      <c r="AC270" s="90"/>
    </row>
    <row r="271" ht="15.7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75"/>
      <c r="AB271" s="75"/>
      <c r="AC271" s="90"/>
    </row>
    <row r="272" ht="15.7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75"/>
      <c r="AB272" s="75"/>
      <c r="AC272" s="90"/>
    </row>
    <row r="273" ht="15.7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75"/>
      <c r="AB273" s="75"/>
      <c r="AC273" s="90"/>
    </row>
    <row r="274" ht="15.7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5"/>
      <c r="AB274" s="75"/>
      <c r="AC274" s="90"/>
    </row>
    <row r="275" ht="15.7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75"/>
      <c r="AB275" s="75"/>
      <c r="AC275" s="90"/>
    </row>
    <row r="276" ht="15.7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75"/>
      <c r="AB276" s="75"/>
      <c r="AC276" s="90"/>
    </row>
    <row r="277" ht="15.7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75"/>
      <c r="AB277" s="75"/>
      <c r="AC277" s="90"/>
    </row>
    <row r="278" ht="15.7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75"/>
      <c r="AB278" s="75"/>
      <c r="AC278" s="90"/>
    </row>
    <row r="279" ht="15.7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75"/>
      <c r="AB279" s="75"/>
      <c r="AC279" s="90"/>
    </row>
    <row r="280" ht="15.7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75"/>
      <c r="AB280" s="75"/>
      <c r="AC280" s="90"/>
    </row>
    <row r="281" ht="15.7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75"/>
      <c r="AB281" s="75"/>
      <c r="AC281" s="90"/>
    </row>
    <row r="282" ht="15.7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75"/>
      <c r="AB282" s="75"/>
      <c r="AC282" s="90"/>
    </row>
    <row r="283" ht="15.7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75"/>
      <c r="AB283" s="75"/>
      <c r="AC283" s="90"/>
    </row>
    <row r="284" ht="15.7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75"/>
      <c r="AB284" s="75"/>
      <c r="AC284" s="90"/>
    </row>
    <row r="285" ht="15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75"/>
      <c r="AB285" s="75"/>
      <c r="AC285" s="90"/>
    </row>
    <row r="286" ht="15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75"/>
      <c r="AB286" s="75"/>
      <c r="AC286" s="90"/>
    </row>
    <row r="287" ht="15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75"/>
      <c r="AB287" s="75"/>
      <c r="AC287" s="90"/>
    </row>
    <row r="288" ht="15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75"/>
      <c r="AB288" s="75"/>
      <c r="AC288" s="90"/>
    </row>
    <row r="289" ht="15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75"/>
      <c r="AB289" s="75"/>
      <c r="AC289" s="90"/>
    </row>
    <row r="290" ht="15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75"/>
      <c r="AB290" s="75"/>
      <c r="AC290" s="90"/>
    </row>
    <row r="291" ht="15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75"/>
      <c r="AB291" s="75"/>
      <c r="AC291" s="90"/>
    </row>
    <row r="292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75"/>
      <c r="AB292" s="75"/>
      <c r="AC292" s="90"/>
    </row>
    <row r="293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75"/>
      <c r="AB293" s="75"/>
      <c r="AC293" s="90"/>
    </row>
    <row r="294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75"/>
      <c r="AB294" s="75"/>
      <c r="AC294" s="90"/>
    </row>
    <row r="295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75"/>
      <c r="AB295" s="75"/>
      <c r="AC295" s="90"/>
    </row>
    <row r="296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75"/>
      <c r="AB296" s="75"/>
      <c r="AC296" s="90"/>
    </row>
    <row r="297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75"/>
      <c r="AB297" s="75"/>
      <c r="AC297" s="90"/>
    </row>
    <row r="29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75"/>
      <c r="AB298" s="75"/>
      <c r="AC298" s="90"/>
    </row>
    <row r="299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75"/>
      <c r="AB299" s="75"/>
      <c r="AC299" s="90"/>
    </row>
    <row r="300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75"/>
      <c r="AB300" s="75"/>
      <c r="AC300" s="90"/>
    </row>
    <row r="301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75"/>
      <c r="AB301" s="75"/>
      <c r="AC301" s="90"/>
    </row>
    <row r="302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75"/>
      <c r="AB302" s="75"/>
      <c r="AC302" s="90"/>
    </row>
    <row r="303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75"/>
      <c r="AB303" s="75"/>
      <c r="AC303" s="90"/>
    </row>
    <row r="304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75"/>
      <c r="AB304" s="75"/>
      <c r="AC304" s="90"/>
    </row>
    <row r="305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75"/>
      <c r="AB305" s="75"/>
      <c r="AC305" s="90"/>
    </row>
    <row r="306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75"/>
      <c r="AB306" s="75"/>
      <c r="AC306" s="90"/>
    </row>
    <row r="307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75"/>
      <c r="AB307" s="75"/>
      <c r="AC307" s="90"/>
    </row>
    <row r="30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75"/>
      <c r="AB308" s="75"/>
      <c r="AC308" s="90"/>
    </row>
    <row r="309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75"/>
      <c r="AB309" s="75"/>
      <c r="AC309" s="90"/>
    </row>
    <row r="310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75"/>
      <c r="AB310" s="75"/>
      <c r="AC310" s="90"/>
    </row>
    <row r="311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75"/>
      <c r="AB311" s="75"/>
      <c r="AC311" s="90"/>
    </row>
    <row r="312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75"/>
      <c r="AB312" s="75"/>
      <c r="AC312" s="90"/>
    </row>
    <row r="313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75"/>
      <c r="AB313" s="75"/>
      <c r="AC313" s="90"/>
    </row>
    <row r="314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75"/>
      <c r="AB314" s="75"/>
      <c r="AC314" s="90"/>
    </row>
    <row r="315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75"/>
      <c r="AB315" s="75"/>
      <c r="AC315" s="90"/>
    </row>
    <row r="316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75"/>
      <c r="AB316" s="75"/>
      <c r="AC316" s="90"/>
    </row>
    <row r="317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75"/>
      <c r="AB317" s="75"/>
      <c r="AC317" s="90"/>
    </row>
    <row r="31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75"/>
      <c r="AB318" s="75"/>
      <c r="AC318" s="90"/>
    </row>
    <row r="319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75"/>
      <c r="AB319" s="75"/>
      <c r="AC319" s="90"/>
    </row>
    <row r="320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75"/>
      <c r="AB320" s="75"/>
      <c r="AC320" s="90"/>
    </row>
    <row r="321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75"/>
      <c r="AB321" s="75"/>
      <c r="AC321" s="90"/>
    </row>
    <row r="322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75"/>
      <c r="AB322" s="75"/>
      <c r="AC322" s="90"/>
    </row>
    <row r="323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75"/>
      <c r="AB323" s="75"/>
      <c r="AC323" s="90"/>
    </row>
    <row r="324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75"/>
      <c r="AB324" s="75"/>
      <c r="AC324" s="90"/>
    </row>
    <row r="325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75"/>
      <c r="AB325" s="75"/>
      <c r="AC325" s="90"/>
    </row>
    <row r="326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75"/>
      <c r="AB326" s="75"/>
      <c r="AC326" s="90"/>
    </row>
    <row r="327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75"/>
      <c r="AB327" s="75"/>
      <c r="AC327" s="90"/>
    </row>
    <row r="3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75"/>
      <c r="AB328" s="75"/>
      <c r="AC328" s="90"/>
    </row>
    <row r="329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75"/>
      <c r="AB329" s="75"/>
      <c r="AC329" s="90"/>
    </row>
    <row r="330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75"/>
      <c r="AB330" s="75"/>
      <c r="AC330" s="90"/>
    </row>
    <row r="331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75"/>
      <c r="AB331" s="75"/>
      <c r="AC331" s="90"/>
    </row>
    <row r="332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75"/>
      <c r="AB332" s="75"/>
      <c r="AC332" s="90"/>
    </row>
    <row r="333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75"/>
      <c r="AB333" s="75"/>
      <c r="AC333" s="90"/>
    </row>
    <row r="334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75"/>
      <c r="AB334" s="75"/>
      <c r="AC334" s="90"/>
    </row>
    <row r="335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75"/>
      <c r="AB335" s="75"/>
      <c r="AC335" s="90"/>
    </row>
    <row r="336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75"/>
      <c r="AB336" s="75"/>
      <c r="AC336" s="90"/>
    </row>
    <row r="337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75"/>
      <c r="AB337" s="75"/>
      <c r="AC337" s="90"/>
    </row>
    <row r="33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75"/>
      <c r="AB338" s="75"/>
      <c r="AC338" s="90"/>
    </row>
    <row r="339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75"/>
      <c r="AB339" s="75"/>
      <c r="AC339" s="90"/>
    </row>
    <row r="340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75"/>
      <c r="AB340" s="75"/>
      <c r="AC340" s="90"/>
    </row>
    <row r="341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75"/>
      <c r="AB341" s="75"/>
      <c r="AC341" s="90"/>
    </row>
    <row r="342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75"/>
      <c r="AB342" s="75"/>
      <c r="AC342" s="90"/>
    </row>
    <row r="343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75"/>
      <c r="AB343" s="75"/>
      <c r="AC343" s="90"/>
    </row>
    <row r="344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75"/>
      <c r="AB344" s="75"/>
      <c r="AC344" s="90"/>
    </row>
    <row r="345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75"/>
      <c r="AB345" s="75"/>
      <c r="AC345" s="90"/>
    </row>
    <row r="346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75"/>
      <c r="AB346" s="75"/>
      <c r="AC346" s="90"/>
    </row>
    <row r="347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75"/>
      <c r="AB347" s="75"/>
      <c r="AC347" s="90"/>
    </row>
    <row r="34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75"/>
      <c r="AB348" s="75"/>
      <c r="AC348" s="90"/>
    </row>
    <row r="349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75"/>
      <c r="AB349" s="75"/>
      <c r="AC349" s="90"/>
    </row>
    <row r="350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75"/>
      <c r="AB350" s="75"/>
      <c r="AC350" s="90"/>
    </row>
    <row r="351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75"/>
      <c r="AB351" s="75"/>
      <c r="AC351" s="90"/>
    </row>
    <row r="352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75"/>
      <c r="AB352" s="75"/>
      <c r="AC352" s="90"/>
    </row>
    <row r="353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75"/>
      <c r="AB353" s="75"/>
      <c r="AC353" s="90"/>
    </row>
    <row r="354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75"/>
      <c r="AB354" s="75"/>
      <c r="AC354" s="90"/>
    </row>
    <row r="355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75"/>
      <c r="AB355" s="75"/>
      <c r="AC355" s="90"/>
    </row>
    <row r="356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75"/>
      <c r="AB356" s="75"/>
      <c r="AC356" s="90"/>
    </row>
    <row r="357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75"/>
      <c r="AB357" s="75"/>
      <c r="AC357" s="90"/>
    </row>
    <row r="35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75"/>
      <c r="AB358" s="75"/>
      <c r="AC358" s="90"/>
    </row>
    <row r="359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75"/>
      <c r="AB359" s="75"/>
      <c r="AC359" s="90"/>
    </row>
    <row r="360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75"/>
      <c r="AB360" s="75"/>
      <c r="AC360" s="90"/>
    </row>
    <row r="361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75"/>
      <c r="AB361" s="75"/>
      <c r="AC361" s="90"/>
    </row>
    <row r="362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75"/>
      <c r="AB362" s="75"/>
      <c r="AC362" s="90"/>
    </row>
    <row r="363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75"/>
      <c r="AB363" s="75"/>
      <c r="AC363" s="90"/>
    </row>
    <row r="364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75"/>
      <c r="AB364" s="75"/>
      <c r="AC364" s="90"/>
    </row>
    <row r="365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75"/>
      <c r="AB365" s="75"/>
      <c r="AC365" s="90"/>
    </row>
    <row r="366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75"/>
      <c r="AB366" s="75"/>
      <c r="AC366" s="90"/>
    </row>
    <row r="367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75"/>
      <c r="AB367" s="75"/>
      <c r="AC367" s="90"/>
    </row>
    <row r="36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75"/>
      <c r="AB368" s="75"/>
      <c r="AC368" s="90"/>
    </row>
    <row r="369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75"/>
      <c r="AB369" s="75"/>
      <c r="AC369" s="90"/>
    </row>
    <row r="370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75"/>
      <c r="AB370" s="75"/>
      <c r="AC370" s="90"/>
    </row>
    <row r="371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75"/>
      <c r="AB371" s="75"/>
      <c r="AC371" s="90"/>
    </row>
    <row r="372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75"/>
      <c r="AB372" s="75"/>
      <c r="AC372" s="90"/>
    </row>
    <row r="373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75"/>
      <c r="AB373" s="75"/>
      <c r="AC373" s="90"/>
    </row>
    <row r="374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75"/>
      <c r="AB374" s="75"/>
      <c r="AC374" s="90"/>
    </row>
    <row r="375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75"/>
      <c r="AB375" s="75"/>
      <c r="AC375" s="90"/>
    </row>
    <row r="376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75"/>
      <c r="AB376" s="75"/>
      <c r="AC376" s="90"/>
    </row>
    <row r="377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75"/>
      <c r="AB377" s="75"/>
      <c r="AC377" s="90"/>
    </row>
    <row r="37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75"/>
      <c r="AB378" s="75"/>
      <c r="AC378" s="90"/>
    </row>
    <row r="379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75"/>
      <c r="AB379" s="75"/>
      <c r="AC379" s="90"/>
    </row>
    <row r="380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75"/>
      <c r="AB380" s="75"/>
      <c r="AC380" s="90"/>
    </row>
    <row r="381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75"/>
      <c r="AB381" s="75"/>
      <c r="AC381" s="90"/>
    </row>
    <row r="382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75"/>
      <c r="AB382" s="75"/>
      <c r="AC382" s="90"/>
    </row>
    <row r="383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75"/>
      <c r="AB383" s="75"/>
      <c r="AC383" s="90"/>
    </row>
    <row r="384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75"/>
      <c r="AB384" s="75"/>
      <c r="AC384" s="90"/>
    </row>
    <row r="385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75"/>
      <c r="AB385" s="75"/>
      <c r="AC385" s="90"/>
    </row>
    <row r="386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75"/>
      <c r="AB386" s="75"/>
      <c r="AC386" s="90"/>
    </row>
    <row r="387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75"/>
      <c r="AB387" s="75"/>
      <c r="AC387" s="90"/>
    </row>
    <row r="38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75"/>
      <c r="AB388" s="75"/>
      <c r="AC388" s="90"/>
    </row>
    <row r="389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75"/>
      <c r="AB389" s="75"/>
      <c r="AC389" s="90"/>
    </row>
    <row r="390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75"/>
      <c r="AB390" s="75"/>
      <c r="AC390" s="90"/>
    </row>
    <row r="391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75"/>
      <c r="AB391" s="75"/>
      <c r="AC391" s="90"/>
    </row>
    <row r="392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75"/>
      <c r="AB392" s="75"/>
      <c r="AC392" s="90"/>
    </row>
    <row r="393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75"/>
      <c r="AB393" s="75"/>
      <c r="AC393" s="90"/>
    </row>
    <row r="394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75"/>
      <c r="AB394" s="75"/>
      <c r="AC394" s="90"/>
    </row>
    <row r="395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75"/>
      <c r="AB395" s="75"/>
      <c r="AC395" s="90"/>
    </row>
    <row r="396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75"/>
      <c r="AB396" s="75"/>
      <c r="AC396" s="90"/>
    </row>
    <row r="397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75"/>
      <c r="AB397" s="75"/>
      <c r="AC397" s="90"/>
    </row>
    <row r="39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75"/>
      <c r="AB398" s="75"/>
      <c r="AC398" s="90"/>
    </row>
    <row r="399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75"/>
      <c r="AB399" s="75"/>
      <c r="AC399" s="90"/>
    </row>
    <row r="400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75"/>
      <c r="AB400" s="75"/>
      <c r="AC400" s="90"/>
    </row>
    <row r="401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75"/>
      <c r="AB401" s="75"/>
      <c r="AC401" s="90"/>
    </row>
    <row r="402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75"/>
      <c r="AB402" s="75"/>
      <c r="AC402" s="90"/>
    </row>
    <row r="403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75"/>
      <c r="AB403" s="75"/>
      <c r="AC403" s="90"/>
    </row>
    <row r="404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75"/>
      <c r="AB404" s="75"/>
      <c r="AC404" s="90"/>
    </row>
    <row r="405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75"/>
      <c r="AB405" s="75"/>
      <c r="AC405" s="90"/>
    </row>
    <row r="406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75"/>
      <c r="AB406" s="75"/>
      <c r="AC406" s="90"/>
    </row>
    <row r="407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75"/>
      <c r="AB407" s="75"/>
      <c r="AC407" s="90"/>
    </row>
    <row r="40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75"/>
      <c r="AB408" s="75"/>
      <c r="AC408" s="90"/>
    </row>
    <row r="409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75"/>
      <c r="AB409" s="75"/>
      <c r="AC409" s="90"/>
    </row>
    <row r="410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75"/>
      <c r="AB410" s="75"/>
      <c r="AC410" s="90"/>
    </row>
    <row r="411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75"/>
      <c r="AB411" s="75"/>
      <c r="AC411" s="90"/>
    </row>
    <row r="412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75"/>
      <c r="AB412" s="75"/>
      <c r="AC412" s="90"/>
    </row>
    <row r="413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75"/>
      <c r="AB413" s="75"/>
      <c r="AC413" s="90"/>
    </row>
    <row r="414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75"/>
      <c r="AB414" s="75"/>
      <c r="AC414" s="90"/>
    </row>
    <row r="415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75"/>
      <c r="AB415" s="75"/>
      <c r="AC415" s="90"/>
    </row>
    <row r="416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75"/>
      <c r="AB416" s="75"/>
      <c r="AC416" s="90"/>
    </row>
    <row r="417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75"/>
      <c r="AB417" s="75"/>
      <c r="AC417" s="90"/>
    </row>
    <row r="41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75"/>
      <c r="AB418" s="75"/>
      <c r="AC418" s="90"/>
    </row>
    <row r="419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75"/>
      <c r="AB419" s="75"/>
      <c r="AC419" s="90"/>
    </row>
    <row r="420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75"/>
      <c r="AB420" s="75"/>
      <c r="AC420" s="90"/>
    </row>
    <row r="421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75"/>
      <c r="AB421" s="75"/>
      <c r="AC421" s="90"/>
    </row>
    <row r="422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75"/>
      <c r="AB422" s="75"/>
      <c r="AC422" s="90"/>
    </row>
    <row r="423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75"/>
      <c r="AB423" s="75"/>
      <c r="AC423" s="90"/>
    </row>
    <row r="424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75"/>
      <c r="AB424" s="75"/>
      <c r="AC424" s="90"/>
    </row>
    <row r="425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75"/>
      <c r="AB425" s="75"/>
      <c r="AC425" s="90"/>
    </row>
    <row r="426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75"/>
      <c r="AB426" s="75"/>
      <c r="AC426" s="90"/>
    </row>
    <row r="427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75"/>
      <c r="AB427" s="75"/>
      <c r="AC427" s="90"/>
    </row>
    <row r="4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75"/>
      <c r="AB428" s="75"/>
      <c r="AC428" s="90"/>
    </row>
    <row r="429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75"/>
      <c r="AB429" s="75"/>
      <c r="AC429" s="90"/>
    </row>
    <row r="430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75"/>
      <c r="AB430" s="75"/>
      <c r="AC430" s="90"/>
    </row>
    <row r="431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75"/>
      <c r="AB431" s="75"/>
      <c r="AC431" s="90"/>
    </row>
    <row r="432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75"/>
      <c r="AB432" s="75"/>
      <c r="AC432" s="90"/>
    </row>
    <row r="433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75"/>
      <c r="AB433" s="75"/>
      <c r="AC433" s="90"/>
    </row>
    <row r="434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75"/>
      <c r="AB434" s="75"/>
      <c r="AC434" s="90"/>
    </row>
    <row r="435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75"/>
      <c r="AB435" s="75"/>
      <c r="AC435" s="90"/>
    </row>
    <row r="436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75"/>
      <c r="AB436" s="75"/>
      <c r="AC436" s="90"/>
    </row>
    <row r="437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75"/>
      <c r="AB437" s="75"/>
      <c r="AC437" s="90"/>
    </row>
    <row r="43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75"/>
      <c r="AB438" s="75"/>
      <c r="AC438" s="90"/>
    </row>
    <row r="439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75"/>
      <c r="AB439" s="75"/>
      <c r="AC439" s="90"/>
    </row>
    <row r="440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75"/>
      <c r="AB440" s="75"/>
      <c r="AC440" s="90"/>
    </row>
    <row r="441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75"/>
      <c r="AB441" s="75"/>
      <c r="AC441" s="90"/>
    </row>
    <row r="442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75"/>
      <c r="AB442" s="75"/>
      <c r="AC442" s="90"/>
    </row>
    <row r="443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75"/>
      <c r="AB443" s="75"/>
      <c r="AC443" s="90"/>
    </row>
    <row r="444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75"/>
      <c r="AB444" s="75"/>
      <c r="AC444" s="90"/>
    </row>
    <row r="445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75"/>
      <c r="AB445" s="75"/>
      <c r="AC445" s="90"/>
    </row>
    <row r="446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75"/>
      <c r="AB446" s="75"/>
      <c r="AC446" s="90"/>
    </row>
    <row r="447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75"/>
      <c r="AB447" s="75"/>
      <c r="AC447" s="90"/>
    </row>
    <row r="44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75"/>
      <c r="AB448" s="75"/>
      <c r="AC448" s="90"/>
    </row>
    <row r="449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75"/>
      <c r="AB449" s="75"/>
      <c r="AC449" s="90"/>
    </row>
    <row r="450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75"/>
      <c r="AB450" s="75"/>
      <c r="AC450" s="90"/>
    </row>
    <row r="451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75"/>
      <c r="AB451" s="75"/>
      <c r="AC451" s="90"/>
    </row>
    <row r="452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75"/>
      <c r="AB452" s="75"/>
      <c r="AC452" s="90"/>
    </row>
    <row r="453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75"/>
      <c r="AB453" s="75"/>
      <c r="AC453" s="90"/>
    </row>
    <row r="454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75"/>
      <c r="AB454" s="75"/>
      <c r="AC454" s="90"/>
    </row>
    <row r="455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75"/>
      <c r="AB455" s="75"/>
      <c r="AC455" s="90"/>
    </row>
    <row r="456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75"/>
      <c r="AB456" s="75"/>
      <c r="AC456" s="90"/>
    </row>
    <row r="457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75"/>
      <c r="AB457" s="75"/>
      <c r="AC457" s="90"/>
    </row>
    <row r="45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75"/>
      <c r="AB458" s="75"/>
      <c r="AC458" s="90"/>
    </row>
    <row r="459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75"/>
      <c r="AB459" s="75"/>
      <c r="AC459" s="90"/>
    </row>
    <row r="460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75"/>
      <c r="AB460" s="75"/>
      <c r="AC460" s="90"/>
    </row>
    <row r="461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75"/>
      <c r="AB461" s="75"/>
      <c r="AC461" s="90"/>
    </row>
    <row r="462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75"/>
      <c r="AB462" s="75"/>
      <c r="AC462" s="90"/>
    </row>
    <row r="463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75"/>
      <c r="AB463" s="75"/>
      <c r="AC463" s="90"/>
    </row>
    <row r="464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75"/>
      <c r="AB464" s="75"/>
      <c r="AC464" s="90"/>
    </row>
    <row r="465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75"/>
      <c r="AB465" s="75"/>
      <c r="AC465" s="90"/>
    </row>
    <row r="466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75"/>
      <c r="AB466" s="75"/>
      <c r="AC466" s="90"/>
    </row>
    <row r="467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75"/>
      <c r="AB467" s="75"/>
      <c r="AC467" s="90"/>
    </row>
    <row r="46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75"/>
      <c r="AB468" s="75"/>
      <c r="AC468" s="90"/>
    </row>
    <row r="469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75"/>
      <c r="AB469" s="75"/>
      <c r="AC469" s="90"/>
    </row>
    <row r="470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75"/>
      <c r="AB470" s="75"/>
      <c r="AC470" s="90"/>
    </row>
    <row r="471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75"/>
      <c r="AB471" s="75"/>
      <c r="AC471" s="90"/>
    </row>
    <row r="472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75"/>
      <c r="AB472" s="75"/>
      <c r="AC472" s="90"/>
    </row>
    <row r="473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75"/>
      <c r="AB473" s="75"/>
      <c r="AC473" s="90"/>
    </row>
    <row r="474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75"/>
      <c r="AB474" s="75"/>
      <c r="AC474" s="90"/>
    </row>
    <row r="475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75"/>
      <c r="AB475" s="75"/>
      <c r="AC475" s="90"/>
    </row>
    <row r="476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75"/>
      <c r="AB476" s="75"/>
      <c r="AC476" s="90"/>
    </row>
    <row r="477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75"/>
      <c r="AB477" s="75"/>
      <c r="AC477" s="90"/>
    </row>
    <row r="47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75"/>
      <c r="AB478" s="75"/>
      <c r="AC478" s="90"/>
    </row>
    <row r="479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75"/>
      <c r="AB479" s="75"/>
      <c r="AC479" s="90"/>
    </row>
    <row r="480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75"/>
      <c r="AB480" s="75"/>
      <c r="AC480" s="90"/>
    </row>
    <row r="481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75"/>
      <c r="AB481" s="75"/>
      <c r="AC481" s="90"/>
    </row>
    <row r="482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75"/>
      <c r="AB482" s="75"/>
      <c r="AC482" s="90"/>
    </row>
    <row r="483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75"/>
      <c r="AB483" s="75"/>
      <c r="AC483" s="90"/>
    </row>
    <row r="484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75"/>
      <c r="AB484" s="75"/>
      <c r="AC484" s="90"/>
    </row>
    <row r="485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75"/>
      <c r="AB485" s="75"/>
      <c r="AC485" s="90"/>
    </row>
    <row r="486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75"/>
      <c r="AB486" s="75"/>
      <c r="AC486" s="90"/>
    </row>
    <row r="487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75"/>
      <c r="AB487" s="75"/>
      <c r="AC487" s="90"/>
    </row>
    <row r="48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75"/>
      <c r="AB488" s="75"/>
      <c r="AC488" s="90"/>
    </row>
    <row r="489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75"/>
      <c r="AB489" s="75"/>
      <c r="AC489" s="90"/>
    </row>
    <row r="490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75"/>
      <c r="AB490" s="75"/>
      <c r="AC490" s="90"/>
    </row>
    <row r="491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75"/>
      <c r="AB491" s="75"/>
      <c r="AC491" s="90"/>
    </row>
    <row r="492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75"/>
      <c r="AB492" s="75"/>
      <c r="AC492" s="90"/>
    </row>
    <row r="493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75"/>
      <c r="AB493" s="75"/>
      <c r="AC493" s="90"/>
    </row>
    <row r="494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75"/>
      <c r="AB494" s="75"/>
      <c r="AC494" s="90"/>
    </row>
    <row r="495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75"/>
      <c r="AB495" s="75"/>
      <c r="AC495" s="90"/>
    </row>
    <row r="496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75"/>
      <c r="AB496" s="75"/>
      <c r="AC496" s="90"/>
    </row>
    <row r="497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75"/>
      <c r="AB497" s="75"/>
      <c r="AC497" s="90"/>
    </row>
    <row r="49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75"/>
      <c r="AB498" s="75"/>
      <c r="AC498" s="90"/>
    </row>
    <row r="499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75"/>
      <c r="AB499" s="75"/>
      <c r="AC499" s="90"/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75"/>
      <c r="AB500" s="75"/>
      <c r="AC500" s="90"/>
    </row>
    <row r="501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75"/>
      <c r="AB501" s="75"/>
      <c r="AC501" s="90"/>
    </row>
    <row r="502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75"/>
      <c r="AB502" s="75"/>
      <c r="AC502" s="90"/>
    </row>
    <row r="503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75"/>
      <c r="AB503" s="75"/>
      <c r="AC503" s="90"/>
    </row>
    <row r="504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75"/>
      <c r="AB504" s="75"/>
      <c r="AC504" s="90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75"/>
      <c r="AB505" s="75"/>
      <c r="AC505" s="90"/>
    </row>
    <row r="506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75"/>
      <c r="AB506" s="75"/>
      <c r="AC506" s="90"/>
    </row>
    <row r="507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75"/>
      <c r="AB507" s="75"/>
      <c r="AC507" s="90"/>
    </row>
    <row r="50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75"/>
      <c r="AB508" s="75"/>
      <c r="AC508" s="90"/>
    </row>
    <row r="509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75"/>
      <c r="AB509" s="75"/>
      <c r="AC509" s="90"/>
    </row>
    <row r="510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75"/>
      <c r="AB510" s="75"/>
      <c r="AC510" s="90"/>
    </row>
    <row r="511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75"/>
      <c r="AB511" s="75"/>
      <c r="AC511" s="90"/>
    </row>
    <row r="512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75"/>
      <c r="AB512" s="75"/>
      <c r="AC512" s="90"/>
    </row>
    <row r="513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75"/>
      <c r="AB513" s="75"/>
      <c r="AC513" s="90"/>
    </row>
    <row r="514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75"/>
      <c r="AB514" s="75"/>
      <c r="AC514" s="90"/>
    </row>
    <row r="515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75"/>
      <c r="AB515" s="75"/>
      <c r="AC515" s="90"/>
    </row>
    <row r="516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75"/>
      <c r="AB516" s="75"/>
      <c r="AC516" s="90"/>
    </row>
    <row r="517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75"/>
      <c r="AB517" s="75"/>
      <c r="AC517" s="90"/>
    </row>
    <row r="51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75"/>
      <c r="AB518" s="75"/>
      <c r="AC518" s="90"/>
    </row>
    <row r="519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75"/>
      <c r="AB519" s="75"/>
      <c r="AC519" s="90"/>
    </row>
    <row r="520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75"/>
      <c r="AB520" s="75"/>
      <c r="AC520" s="90"/>
    </row>
    <row r="521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75"/>
      <c r="AB521" s="75"/>
      <c r="AC521" s="90"/>
    </row>
    <row r="522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75"/>
      <c r="AB522" s="75"/>
      <c r="AC522" s="90"/>
    </row>
    <row r="523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75"/>
      <c r="AB523" s="75"/>
      <c r="AC523" s="90"/>
    </row>
    <row r="524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75"/>
      <c r="AB524" s="75"/>
      <c r="AC524" s="90"/>
    </row>
    <row r="525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75"/>
      <c r="AB525" s="75"/>
      <c r="AC525" s="90"/>
    </row>
    <row r="526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75"/>
      <c r="AB526" s="75"/>
      <c r="AC526" s="90"/>
    </row>
    <row r="527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75"/>
      <c r="AB527" s="75"/>
      <c r="AC527" s="90"/>
    </row>
    <row r="5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75"/>
      <c r="AB528" s="75"/>
      <c r="AC528" s="90"/>
    </row>
    <row r="529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75"/>
      <c r="AB529" s="75"/>
      <c r="AC529" s="90"/>
    </row>
    <row r="530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75"/>
      <c r="AB530" s="75"/>
      <c r="AC530" s="90"/>
    </row>
    <row r="531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75"/>
      <c r="AB531" s="75"/>
      <c r="AC531" s="90"/>
    </row>
    <row r="532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75"/>
      <c r="AB532" s="75"/>
      <c r="AC532" s="90"/>
    </row>
    <row r="533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75"/>
      <c r="AB533" s="75"/>
      <c r="AC533" s="90"/>
    </row>
    <row r="534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75"/>
      <c r="AB534" s="75"/>
      <c r="AC534" s="90"/>
    </row>
    <row r="535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75"/>
      <c r="AB535" s="75"/>
      <c r="AC535" s="90"/>
    </row>
    <row r="536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75"/>
      <c r="AB536" s="75"/>
      <c r="AC536" s="90"/>
    </row>
    <row r="537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75"/>
      <c r="AB537" s="75"/>
      <c r="AC537" s="90"/>
    </row>
    <row r="53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75"/>
      <c r="AB538" s="75"/>
      <c r="AC538" s="90"/>
    </row>
    <row r="539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75"/>
      <c r="AB539" s="75"/>
      <c r="AC539" s="90"/>
    </row>
    <row r="540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75"/>
      <c r="AB540" s="75"/>
      <c r="AC540" s="90"/>
    </row>
    <row r="541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75"/>
      <c r="AB541" s="75"/>
      <c r="AC541" s="90"/>
    </row>
    <row r="542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75"/>
      <c r="AB542" s="75"/>
      <c r="AC542" s="90"/>
    </row>
    <row r="543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75"/>
      <c r="AB543" s="75"/>
      <c r="AC543" s="90"/>
    </row>
    <row r="544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75"/>
      <c r="AB544" s="75"/>
      <c r="AC544" s="90"/>
    </row>
    <row r="545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75"/>
      <c r="AB545" s="75"/>
      <c r="AC545" s="90"/>
    </row>
    <row r="546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75"/>
      <c r="AB546" s="75"/>
      <c r="AC546" s="90"/>
    </row>
    <row r="547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75"/>
      <c r="AB547" s="75"/>
      <c r="AC547" s="90"/>
    </row>
    <row r="54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75"/>
      <c r="AB548" s="75"/>
      <c r="AC548" s="90"/>
    </row>
    <row r="549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75"/>
      <c r="AB549" s="75"/>
      <c r="AC549" s="90"/>
    </row>
    <row r="550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75"/>
      <c r="AB550" s="75"/>
      <c r="AC550" s="90"/>
    </row>
    <row r="551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75"/>
      <c r="AB551" s="75"/>
      <c r="AC551" s="90"/>
    </row>
    <row r="552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75"/>
      <c r="AB552" s="75"/>
      <c r="AC552" s="90"/>
    </row>
    <row r="553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75"/>
      <c r="AB553" s="75"/>
      <c r="AC553" s="90"/>
    </row>
    <row r="554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75"/>
      <c r="AB554" s="75"/>
      <c r="AC554" s="90"/>
    </row>
    <row r="555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75"/>
      <c r="AB555" s="75"/>
      <c r="AC555" s="90"/>
    </row>
    <row r="556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75"/>
      <c r="AB556" s="75"/>
      <c r="AC556" s="90"/>
    </row>
    <row r="557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75"/>
      <c r="AB557" s="75"/>
      <c r="AC557" s="90"/>
    </row>
    <row r="55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75"/>
      <c r="AB558" s="75"/>
      <c r="AC558" s="90"/>
    </row>
    <row r="559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75"/>
      <c r="AB559" s="75"/>
      <c r="AC559" s="90"/>
    </row>
    <row r="560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75"/>
      <c r="AB560" s="75"/>
      <c r="AC560" s="90"/>
    </row>
    <row r="561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75"/>
      <c r="AB561" s="75"/>
      <c r="AC561" s="90"/>
    </row>
    <row r="562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75"/>
      <c r="AB562" s="75"/>
      <c r="AC562" s="90"/>
    </row>
    <row r="563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75"/>
      <c r="AB563" s="75"/>
      <c r="AC563" s="90"/>
    </row>
    <row r="564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75"/>
      <c r="AB564" s="75"/>
      <c r="AC564" s="90"/>
    </row>
    <row r="565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75"/>
      <c r="AB565" s="75"/>
      <c r="AC565" s="90"/>
    </row>
    <row r="566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75"/>
      <c r="AB566" s="75"/>
      <c r="AC566" s="90"/>
    </row>
    <row r="567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75"/>
      <c r="AB567" s="75"/>
      <c r="AC567" s="90"/>
    </row>
    <row r="56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75"/>
      <c r="AB568" s="75"/>
      <c r="AC568" s="90"/>
    </row>
    <row r="569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75"/>
      <c r="AB569" s="75"/>
      <c r="AC569" s="90"/>
    </row>
    <row r="570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75"/>
      <c r="AB570" s="75"/>
      <c r="AC570" s="90"/>
    </row>
    <row r="571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75"/>
      <c r="AB571" s="75"/>
      <c r="AC571" s="90"/>
    </row>
    <row r="572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75"/>
      <c r="AB572" s="75"/>
      <c r="AC572" s="90"/>
    </row>
    <row r="573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75"/>
      <c r="AB573" s="75"/>
      <c r="AC573" s="90"/>
    </row>
    <row r="574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75"/>
      <c r="AB574" s="75"/>
      <c r="AC574" s="90"/>
    </row>
    <row r="575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75"/>
      <c r="AB575" s="75"/>
      <c r="AC575" s="90"/>
    </row>
    <row r="576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75"/>
      <c r="AB576" s="75"/>
      <c r="AC576" s="90"/>
    </row>
    <row r="577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75"/>
      <c r="AB577" s="75"/>
      <c r="AC577" s="90"/>
    </row>
    <row r="57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75"/>
      <c r="AB578" s="75"/>
      <c r="AC578" s="90"/>
    </row>
    <row r="579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75"/>
      <c r="AB579" s="75"/>
      <c r="AC579" s="90"/>
    </row>
    <row r="580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75"/>
      <c r="AB580" s="75"/>
      <c r="AC580" s="90"/>
    </row>
    <row r="581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75"/>
      <c r="AB581" s="75"/>
      <c r="AC581" s="90"/>
    </row>
    <row r="582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75"/>
      <c r="AB582" s="75"/>
      <c r="AC582" s="90"/>
    </row>
    <row r="583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75"/>
      <c r="AB583" s="75"/>
      <c r="AC583" s="90"/>
    </row>
    <row r="584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75"/>
      <c r="AB584" s="75"/>
      <c r="AC584" s="90"/>
    </row>
    <row r="585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75"/>
      <c r="AB585" s="75"/>
      <c r="AC585" s="90"/>
    </row>
    <row r="586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75"/>
      <c r="AB586" s="75"/>
      <c r="AC586" s="90"/>
    </row>
    <row r="587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75"/>
      <c r="AB587" s="75"/>
      <c r="AC587" s="90"/>
    </row>
    <row r="58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75"/>
      <c r="AB588" s="75"/>
      <c r="AC588" s="90"/>
    </row>
    <row r="589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75"/>
      <c r="AB589" s="75"/>
      <c r="AC589" s="90"/>
    </row>
    <row r="590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75"/>
      <c r="AB590" s="75"/>
      <c r="AC590" s="90"/>
    </row>
    <row r="591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75"/>
      <c r="AB591" s="75"/>
      <c r="AC591" s="90"/>
    </row>
    <row r="592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75"/>
      <c r="AB592" s="75"/>
      <c r="AC592" s="90"/>
    </row>
    <row r="593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75"/>
      <c r="AB593" s="75"/>
      <c r="AC593" s="90"/>
    </row>
    <row r="594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75"/>
      <c r="AB594" s="75"/>
      <c r="AC594" s="90"/>
    </row>
    <row r="595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75"/>
      <c r="AB595" s="75"/>
      <c r="AC595" s="90"/>
    </row>
    <row r="596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75"/>
      <c r="AB596" s="75"/>
      <c r="AC596" s="90"/>
    </row>
    <row r="597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75"/>
      <c r="AB597" s="75"/>
      <c r="AC597" s="90"/>
    </row>
    <row r="59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75"/>
      <c r="AB598" s="75"/>
      <c r="AC598" s="90"/>
    </row>
    <row r="599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75"/>
      <c r="AB599" s="75"/>
      <c r="AC599" s="90"/>
    </row>
    <row r="600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75"/>
      <c r="AB600" s="75"/>
      <c r="AC600" s="90"/>
    </row>
    <row r="601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75"/>
      <c r="AB601" s="75"/>
      <c r="AC601" s="90"/>
    </row>
    <row r="602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75"/>
      <c r="AB602" s="75"/>
      <c r="AC602" s="90"/>
    </row>
    <row r="603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75"/>
      <c r="AB603" s="75"/>
      <c r="AC603" s="90"/>
    </row>
    <row r="604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75"/>
      <c r="AB604" s="75"/>
      <c r="AC604" s="90"/>
    </row>
    <row r="605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75"/>
      <c r="AB605" s="75"/>
      <c r="AC605" s="90"/>
    </row>
    <row r="606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75"/>
      <c r="AB606" s="75"/>
      <c r="AC606" s="90"/>
    </row>
    <row r="607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75"/>
      <c r="AB607" s="75"/>
      <c r="AC607" s="90"/>
    </row>
    <row r="60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75"/>
      <c r="AB608" s="75"/>
      <c r="AC608" s="90"/>
    </row>
    <row r="609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75"/>
      <c r="AB609" s="75"/>
      <c r="AC609" s="90"/>
    </row>
    <row r="610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75"/>
      <c r="AB610" s="75"/>
      <c r="AC610" s="90"/>
    </row>
    <row r="611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75"/>
      <c r="AB611" s="75"/>
      <c r="AC611" s="90"/>
    </row>
    <row r="612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75"/>
      <c r="AB612" s="75"/>
      <c r="AC612" s="90"/>
    </row>
    <row r="613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75"/>
      <c r="AB613" s="75"/>
      <c r="AC613" s="90"/>
    </row>
    <row r="614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75"/>
      <c r="AB614" s="75"/>
      <c r="AC614" s="90"/>
    </row>
    <row r="615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75"/>
      <c r="AB615" s="75"/>
      <c r="AC615" s="90"/>
    </row>
    <row r="616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75"/>
      <c r="AB616" s="75"/>
      <c r="AC616" s="90"/>
    </row>
    <row r="617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75"/>
      <c r="AB617" s="75"/>
      <c r="AC617" s="90"/>
    </row>
    <row r="61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75"/>
      <c r="AB618" s="75"/>
      <c r="AC618" s="90"/>
    </row>
    <row r="619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75"/>
      <c r="AB619" s="75"/>
      <c r="AC619" s="90"/>
    </row>
    <row r="620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75"/>
      <c r="AB620" s="75"/>
      <c r="AC620" s="90"/>
    </row>
    <row r="621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75"/>
      <c r="AB621" s="75"/>
      <c r="AC621" s="90"/>
    </row>
    <row r="622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75"/>
      <c r="AB622" s="75"/>
      <c r="AC622" s="90"/>
    </row>
    <row r="623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75"/>
      <c r="AB623" s="75"/>
      <c r="AC623" s="90"/>
    </row>
    <row r="624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75"/>
      <c r="AB624" s="75"/>
      <c r="AC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75"/>
      <c r="AB625" s="75"/>
      <c r="AC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75"/>
      <c r="AB626" s="75"/>
      <c r="AC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75"/>
      <c r="AB627" s="75"/>
      <c r="AC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75"/>
      <c r="AB628" s="75"/>
      <c r="AC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75"/>
      <c r="AB629" s="75"/>
      <c r="AC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75"/>
      <c r="AB630" s="75"/>
      <c r="AC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75"/>
      <c r="AB631" s="75"/>
      <c r="AC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75"/>
      <c r="AB632" s="75"/>
      <c r="AC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75"/>
      <c r="AB633" s="75"/>
      <c r="AC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75"/>
      <c r="AB634" s="75"/>
      <c r="AC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75"/>
      <c r="AB635" s="75"/>
      <c r="AC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75"/>
      <c r="AB636" s="75"/>
      <c r="AC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75"/>
      <c r="AB637" s="75"/>
      <c r="AC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75"/>
      <c r="AB638" s="75"/>
      <c r="AC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75"/>
      <c r="AB639" s="75"/>
      <c r="AC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75"/>
      <c r="AB640" s="75"/>
      <c r="AC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75"/>
      <c r="AB641" s="75"/>
      <c r="AC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75"/>
      <c r="AB642" s="75"/>
      <c r="AC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75"/>
      <c r="AB643" s="75"/>
      <c r="AC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75"/>
      <c r="AB644" s="75"/>
      <c r="AC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75"/>
      <c r="AB645" s="75"/>
      <c r="AC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75"/>
      <c r="AB646" s="75"/>
      <c r="AC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75"/>
      <c r="AB647" s="75"/>
      <c r="AC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75"/>
      <c r="AB648" s="75"/>
      <c r="AC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75"/>
      <c r="AB649" s="75"/>
      <c r="AC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75"/>
      <c r="AB650" s="75"/>
      <c r="AC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75"/>
      <c r="AB651" s="75"/>
      <c r="AC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75"/>
      <c r="AB652" s="75"/>
      <c r="AC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75"/>
      <c r="AB653" s="75"/>
      <c r="AC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75"/>
      <c r="AB654" s="75"/>
      <c r="AC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75"/>
      <c r="AB655" s="75"/>
      <c r="AC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75"/>
      <c r="AB656" s="75"/>
      <c r="AC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75"/>
      <c r="AB657" s="75"/>
      <c r="AC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75"/>
      <c r="AB658" s="75"/>
      <c r="AC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75"/>
      <c r="AB659" s="75"/>
      <c r="AC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75"/>
      <c r="AB660" s="75"/>
      <c r="AC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75"/>
      <c r="AB661" s="75"/>
      <c r="AC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75"/>
      <c r="AB662" s="75"/>
      <c r="AC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75"/>
      <c r="AB663" s="75"/>
      <c r="AC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75"/>
      <c r="AB664" s="75"/>
      <c r="AC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75"/>
      <c r="AB665" s="75"/>
      <c r="AC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75"/>
      <c r="AB666" s="75"/>
      <c r="AC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75"/>
      <c r="AB667" s="75"/>
      <c r="AC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75"/>
      <c r="AB668" s="75"/>
      <c r="AC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75"/>
      <c r="AB669" s="75"/>
      <c r="AC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75"/>
      <c r="AB670" s="75"/>
      <c r="AC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75"/>
      <c r="AB671" s="75"/>
      <c r="AC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75"/>
      <c r="AB672" s="75"/>
      <c r="AC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75"/>
      <c r="AB673" s="75"/>
      <c r="AC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75"/>
      <c r="AB674" s="75"/>
      <c r="AC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75"/>
      <c r="AB675" s="75"/>
      <c r="AC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75"/>
      <c r="AB676" s="75"/>
      <c r="AC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75"/>
      <c r="AB677" s="75"/>
      <c r="AC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75"/>
      <c r="AB678" s="75"/>
      <c r="AC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75"/>
      <c r="AB679" s="75"/>
      <c r="AC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75"/>
      <c r="AB680" s="75"/>
      <c r="AC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75"/>
      <c r="AB681" s="75"/>
      <c r="AC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75"/>
      <c r="AB682" s="75"/>
      <c r="AC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75"/>
      <c r="AB683" s="75"/>
      <c r="AC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75"/>
      <c r="AB684" s="75"/>
      <c r="AC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75"/>
      <c r="AB685" s="75"/>
      <c r="AC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75"/>
      <c r="AB686" s="75"/>
      <c r="AC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75"/>
      <c r="AB687" s="75"/>
      <c r="AC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75"/>
      <c r="AB688" s="75"/>
      <c r="AC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75"/>
      <c r="AB689" s="75"/>
      <c r="AC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75"/>
      <c r="AB690" s="75"/>
      <c r="AC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75"/>
      <c r="AB691" s="75"/>
      <c r="AC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75"/>
      <c r="AB692" s="75"/>
      <c r="AC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75"/>
      <c r="AB693" s="75"/>
      <c r="AC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75"/>
      <c r="AB694" s="75"/>
      <c r="AC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75"/>
      <c r="AB695" s="75"/>
      <c r="AC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75"/>
      <c r="AB696" s="75"/>
      <c r="AC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75"/>
      <c r="AB697" s="75"/>
      <c r="AC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75"/>
      <c r="AB698" s="75"/>
      <c r="AC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75"/>
      <c r="AB699" s="75"/>
      <c r="AC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75"/>
      <c r="AB700" s="75"/>
      <c r="AC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75"/>
      <c r="AB701" s="75"/>
      <c r="AC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75"/>
      <c r="AB702" s="75"/>
      <c r="AC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75"/>
      <c r="AB703" s="75"/>
      <c r="AC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75"/>
      <c r="AB704" s="75"/>
      <c r="AC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75"/>
      <c r="AB705" s="75"/>
      <c r="AC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75"/>
      <c r="AB706" s="75"/>
      <c r="AC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75"/>
      <c r="AB707" s="75"/>
      <c r="AC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75"/>
      <c r="AB708" s="75"/>
      <c r="AC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75"/>
      <c r="AB709" s="75"/>
      <c r="AC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75"/>
      <c r="AB710" s="75"/>
      <c r="AC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75"/>
      <c r="AB711" s="75"/>
      <c r="AC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75"/>
      <c r="AB712" s="75"/>
      <c r="AC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75"/>
      <c r="AB713" s="75"/>
      <c r="AC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75"/>
      <c r="AB714" s="75"/>
      <c r="AC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75"/>
      <c r="AB715" s="75"/>
      <c r="AC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75"/>
      <c r="AB716" s="75"/>
      <c r="AC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75"/>
      <c r="AB717" s="75"/>
      <c r="AC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75"/>
      <c r="AB718" s="75"/>
      <c r="AC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75"/>
      <c r="AB719" s="75"/>
      <c r="AC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75"/>
      <c r="AB720" s="75"/>
      <c r="AC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75"/>
      <c r="AB721" s="75"/>
      <c r="AC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75"/>
      <c r="AB722" s="75"/>
      <c r="AC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75"/>
      <c r="AB723" s="75"/>
      <c r="AC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75"/>
      <c r="AB724" s="75"/>
      <c r="AC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75"/>
      <c r="AB725" s="75"/>
      <c r="AC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75"/>
      <c r="AB726" s="75"/>
      <c r="AC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75"/>
      <c r="AB727" s="75"/>
      <c r="AC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75"/>
      <c r="AB728" s="75"/>
      <c r="AC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75"/>
      <c r="AB729" s="75"/>
      <c r="AC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75"/>
      <c r="AB730" s="75"/>
      <c r="AC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75"/>
      <c r="AB731" s="75"/>
      <c r="AC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75"/>
      <c r="AB732" s="75"/>
      <c r="AC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75"/>
      <c r="AB733" s="75"/>
      <c r="AC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75"/>
      <c r="AB734" s="75"/>
      <c r="AC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75"/>
      <c r="AB735" s="75"/>
      <c r="AC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75"/>
      <c r="AB736" s="75"/>
      <c r="AC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75"/>
      <c r="AB737" s="75"/>
      <c r="AC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75"/>
      <c r="AB738" s="75"/>
      <c r="AC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75"/>
      <c r="AB739" s="75"/>
      <c r="AC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75"/>
      <c r="AB740" s="75"/>
      <c r="AC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75"/>
      <c r="AB741" s="75"/>
      <c r="AC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75"/>
      <c r="AB742" s="75"/>
      <c r="AC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75"/>
      <c r="AB743" s="75"/>
      <c r="AC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75"/>
      <c r="AB744" s="75"/>
      <c r="AC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75"/>
      <c r="AB745" s="75"/>
      <c r="AC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75"/>
      <c r="AB746" s="75"/>
      <c r="AC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75"/>
      <c r="AB747" s="75"/>
      <c r="AC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75"/>
      <c r="AB748" s="75"/>
      <c r="AC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75"/>
      <c r="AB749" s="75"/>
      <c r="AC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75"/>
      <c r="AB750" s="75"/>
      <c r="AC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75"/>
      <c r="AB751" s="75"/>
      <c r="AC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75"/>
      <c r="AB752" s="75"/>
      <c r="AC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75"/>
      <c r="AB753" s="75"/>
      <c r="AC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75"/>
      <c r="AB754" s="75"/>
      <c r="AC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75"/>
      <c r="AB755" s="75"/>
      <c r="AC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75"/>
      <c r="AB756" s="75"/>
      <c r="AC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75"/>
      <c r="AB757" s="75"/>
      <c r="AC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75"/>
      <c r="AB758" s="75"/>
      <c r="AC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75"/>
      <c r="AB759" s="75"/>
      <c r="AC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75"/>
      <c r="AB760" s="75"/>
      <c r="AC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75"/>
      <c r="AB761" s="75"/>
      <c r="AC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75"/>
      <c r="AB762" s="75"/>
      <c r="AC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75"/>
      <c r="AB763" s="75"/>
      <c r="AC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75"/>
      <c r="AB764" s="75"/>
      <c r="AC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75"/>
      <c r="AB765" s="75"/>
      <c r="AC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75"/>
      <c r="AB766" s="75"/>
      <c r="AC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75"/>
      <c r="AB767" s="75"/>
      <c r="AC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75"/>
      <c r="AB768" s="75"/>
      <c r="AC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75"/>
      <c r="AB769" s="75"/>
      <c r="AC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75"/>
      <c r="AB770" s="75"/>
      <c r="AC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75"/>
      <c r="AB771" s="75"/>
      <c r="AC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75"/>
      <c r="AB772" s="75"/>
      <c r="AC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75"/>
      <c r="AB773" s="75"/>
      <c r="AC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75"/>
      <c r="AB774" s="75"/>
      <c r="AC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75"/>
      <c r="AB775" s="75"/>
      <c r="AC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75"/>
      <c r="AB776" s="75"/>
      <c r="AC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75"/>
      <c r="AB777" s="75"/>
      <c r="AC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75"/>
      <c r="AB778" s="75"/>
      <c r="AC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75"/>
      <c r="AB779" s="75"/>
      <c r="AC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75"/>
      <c r="AB780" s="75"/>
      <c r="AC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75"/>
      <c r="AB781" s="75"/>
      <c r="AC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75"/>
      <c r="AB782" s="75"/>
      <c r="AC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75"/>
      <c r="AB783" s="75"/>
      <c r="AC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75"/>
      <c r="AB784" s="75"/>
      <c r="AC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75"/>
      <c r="AB785" s="75"/>
      <c r="AC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75"/>
      <c r="AB786" s="75"/>
      <c r="AC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75"/>
      <c r="AB787" s="75"/>
      <c r="AC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75"/>
      <c r="AB788" s="75"/>
      <c r="AC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75"/>
      <c r="AB789" s="75"/>
      <c r="AC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75"/>
      <c r="AB790" s="75"/>
      <c r="AC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75"/>
      <c r="AB791" s="75"/>
      <c r="AC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75"/>
      <c r="AB792" s="75"/>
      <c r="AC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75"/>
      <c r="AB793" s="75"/>
      <c r="AC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75"/>
      <c r="AB794" s="75"/>
      <c r="AC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75"/>
      <c r="AB795" s="75"/>
      <c r="AC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75"/>
      <c r="AB796" s="75"/>
      <c r="AC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75"/>
      <c r="AB797" s="75"/>
      <c r="AC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75"/>
      <c r="AB798" s="75"/>
      <c r="AC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75"/>
      <c r="AB799" s="75"/>
      <c r="AC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75"/>
      <c r="AB800" s="75"/>
      <c r="AC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75"/>
      <c r="AB801" s="75"/>
      <c r="AC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75"/>
      <c r="AB802" s="75"/>
      <c r="AC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75"/>
      <c r="AB803" s="75"/>
      <c r="AC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75"/>
      <c r="AB804" s="75"/>
      <c r="AC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75"/>
      <c r="AB805" s="75"/>
      <c r="AC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75"/>
      <c r="AB806" s="75"/>
      <c r="AC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75"/>
      <c r="AB807" s="75"/>
      <c r="AC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75"/>
      <c r="AB808" s="75"/>
      <c r="AC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</row>
  </sheetData>
  <mergeCells count="102">
    <mergeCell ref="Q4:R4"/>
    <mergeCell ref="S4:T4"/>
    <mergeCell ref="U4:V4"/>
    <mergeCell ref="W4:X4"/>
    <mergeCell ref="Y4:Z4"/>
    <mergeCell ref="C4:D4"/>
    <mergeCell ref="E4:F4"/>
    <mergeCell ref="G4:H4"/>
    <mergeCell ref="I4:J4"/>
    <mergeCell ref="K4:L4"/>
    <mergeCell ref="M4:N4"/>
    <mergeCell ref="O4:P4"/>
    <mergeCell ref="C6:D6"/>
    <mergeCell ref="E6:F6"/>
    <mergeCell ref="G6:H6"/>
    <mergeCell ref="I6:J6"/>
    <mergeCell ref="K6:L6"/>
    <mergeCell ref="M6:N6"/>
    <mergeCell ref="O6:P6"/>
    <mergeCell ref="W23:X23"/>
    <mergeCell ref="Y23:Z23"/>
    <mergeCell ref="Q6:R6"/>
    <mergeCell ref="S6:T6"/>
    <mergeCell ref="U6:V6"/>
    <mergeCell ref="W6:X6"/>
    <mergeCell ref="Y6:Z6"/>
    <mergeCell ref="O23:P23"/>
    <mergeCell ref="Q23:R23"/>
    <mergeCell ref="S23:T23"/>
    <mergeCell ref="U23:V23"/>
    <mergeCell ref="Q41:R41"/>
    <mergeCell ref="S41:T41"/>
    <mergeCell ref="U41:V41"/>
    <mergeCell ref="W41:X41"/>
    <mergeCell ref="Y41:Z41"/>
    <mergeCell ref="O41:P41"/>
    <mergeCell ref="O51:P51"/>
    <mergeCell ref="Q51:R51"/>
    <mergeCell ref="S51:T51"/>
    <mergeCell ref="U51:V51"/>
    <mergeCell ref="W51:X51"/>
    <mergeCell ref="Y51:Z51"/>
    <mergeCell ref="Q115:R115"/>
    <mergeCell ref="S115:T115"/>
    <mergeCell ref="Q125:R125"/>
    <mergeCell ref="S125:T125"/>
    <mergeCell ref="U125:V125"/>
    <mergeCell ref="W125:X125"/>
    <mergeCell ref="Y125:Z125"/>
    <mergeCell ref="O125:P125"/>
    <mergeCell ref="O133:P133"/>
    <mergeCell ref="Q133:R133"/>
    <mergeCell ref="S133:T133"/>
    <mergeCell ref="U133:V133"/>
    <mergeCell ref="W133:X133"/>
    <mergeCell ref="Y133:Z133"/>
    <mergeCell ref="U149:V149"/>
    <mergeCell ref="W149:X149"/>
    <mergeCell ref="O141:P141"/>
    <mergeCell ref="Q141:R141"/>
    <mergeCell ref="S141:T141"/>
    <mergeCell ref="U141:V141"/>
    <mergeCell ref="W141:X141"/>
    <mergeCell ref="Y141:Z141"/>
    <mergeCell ref="O149:P149"/>
    <mergeCell ref="Y149:Z149"/>
    <mergeCell ref="U76:V76"/>
    <mergeCell ref="W76:X76"/>
    <mergeCell ref="O67:P67"/>
    <mergeCell ref="Q67:R67"/>
    <mergeCell ref="S67:T67"/>
    <mergeCell ref="U67:V67"/>
    <mergeCell ref="W67:X67"/>
    <mergeCell ref="Y67:Z67"/>
    <mergeCell ref="O76:P76"/>
    <mergeCell ref="Y76:Z76"/>
    <mergeCell ref="Q76:R76"/>
    <mergeCell ref="S76:T76"/>
    <mergeCell ref="Q87:R87"/>
    <mergeCell ref="S87:T87"/>
    <mergeCell ref="U87:V87"/>
    <mergeCell ref="W87:X87"/>
    <mergeCell ref="Y87:Z87"/>
    <mergeCell ref="O87:P87"/>
    <mergeCell ref="O95:P95"/>
    <mergeCell ref="Q95:R95"/>
    <mergeCell ref="S95:T95"/>
    <mergeCell ref="U95:V95"/>
    <mergeCell ref="W95:X95"/>
    <mergeCell ref="Y95:Z95"/>
    <mergeCell ref="U115:V115"/>
    <mergeCell ref="W115:X115"/>
    <mergeCell ref="O103:P103"/>
    <mergeCell ref="Q103:R103"/>
    <mergeCell ref="S103:T103"/>
    <mergeCell ref="U103:V103"/>
    <mergeCell ref="W103:X103"/>
    <mergeCell ref="Y103:Z103"/>
    <mergeCell ref="O115:P115"/>
    <mergeCell ref="Y115:Z115"/>
    <mergeCell ref="Q149:R149"/>
    <mergeCell ref="S149:T149"/>
  </mergeCells>
  <drawing r:id="rId2"/>
  <legacyDrawing r:id="rId3"/>
  <tableParts count="1">
    <tablePart r:id="rId5"/>
  </tableParts>
</worksheet>
</file>